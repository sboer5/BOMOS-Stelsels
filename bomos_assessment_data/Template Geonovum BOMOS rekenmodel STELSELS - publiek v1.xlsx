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ijn documenten\Onderzoek ishare\"/>
    </mc:Choice>
  </mc:AlternateContent>
  <xr:revisionPtr revIDLastSave="0" documentId="13_ncr:1_{C3D72924-BBBA-408E-802D-58500F3825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rkzaamheden" sheetId="1" r:id="rId1"/>
    <sheet name="Lookup" sheetId="2" r:id="rId2"/>
  </sheets>
  <definedNames>
    <definedName name="fase">Lookup!#REF!</definedName>
    <definedName name="volwassenheid_stelsel">Lookup!#REF!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5" i="1" l="1"/>
  <c r="K35" i="1" s="1"/>
  <c r="H90" i="1"/>
  <c r="K90" i="1" s="1"/>
  <c r="H91" i="1"/>
  <c r="K91" i="1" s="1"/>
  <c r="H92" i="1"/>
  <c r="K92" i="1" s="1"/>
  <c r="H93" i="1"/>
  <c r="K93" i="1" s="1"/>
  <c r="H94" i="1"/>
  <c r="K94" i="1" s="1"/>
  <c r="H95" i="1"/>
  <c r="K95" i="1" s="1"/>
  <c r="H96" i="1"/>
  <c r="K96" i="1" s="1"/>
  <c r="H97" i="1"/>
  <c r="K97" i="1" s="1"/>
  <c r="H98" i="1"/>
  <c r="K98" i="1" s="1"/>
  <c r="H76" i="1"/>
  <c r="K76" i="1" s="1"/>
  <c r="H77" i="1"/>
  <c r="K77" i="1" s="1"/>
  <c r="H78" i="1"/>
  <c r="K78" i="1" s="1"/>
  <c r="H79" i="1"/>
  <c r="K79" i="1" s="1"/>
  <c r="H80" i="1"/>
  <c r="K80" i="1" s="1"/>
  <c r="H81" i="1"/>
  <c r="K81" i="1" s="1"/>
  <c r="H82" i="1"/>
  <c r="K82" i="1" s="1"/>
  <c r="H83" i="1"/>
  <c r="K83" i="1" s="1"/>
  <c r="H84" i="1"/>
  <c r="K84" i="1" s="1"/>
  <c r="H85" i="1"/>
  <c r="K85" i="1" s="1"/>
  <c r="H86" i="1"/>
  <c r="K86" i="1" s="1"/>
  <c r="H61" i="1"/>
  <c r="K61" i="1" s="1"/>
  <c r="H62" i="1"/>
  <c r="K62" i="1" s="1"/>
  <c r="H63" i="1"/>
  <c r="K63" i="1" s="1"/>
  <c r="H64" i="1"/>
  <c r="K64" i="1" s="1"/>
  <c r="H65" i="1"/>
  <c r="K65" i="1" s="1"/>
  <c r="H66" i="1"/>
  <c r="K66" i="1" s="1"/>
  <c r="H67" i="1"/>
  <c r="K67" i="1" s="1"/>
  <c r="H68" i="1"/>
  <c r="K68" i="1" s="1"/>
  <c r="H69" i="1"/>
  <c r="K69" i="1" s="1"/>
  <c r="H70" i="1"/>
  <c r="K70" i="1" s="1"/>
  <c r="H71" i="1"/>
  <c r="K71" i="1" s="1"/>
  <c r="H72" i="1"/>
  <c r="K72" i="1" s="1"/>
  <c r="H60" i="1"/>
  <c r="K60" i="1" s="1"/>
  <c r="H46" i="1"/>
  <c r="K46" i="1" s="1"/>
  <c r="H47" i="1"/>
  <c r="K47" i="1" s="1"/>
  <c r="H48" i="1"/>
  <c r="K48" i="1" s="1"/>
  <c r="H49" i="1"/>
  <c r="K49" i="1" s="1"/>
  <c r="H50" i="1"/>
  <c r="K50" i="1" s="1"/>
  <c r="H51" i="1"/>
  <c r="K51" i="1" s="1"/>
  <c r="H52" i="1"/>
  <c r="K52" i="1" s="1"/>
  <c r="H53" i="1"/>
  <c r="K53" i="1" s="1"/>
  <c r="H54" i="1"/>
  <c r="K54" i="1" s="1"/>
  <c r="H55" i="1"/>
  <c r="K55" i="1" s="1"/>
  <c r="H56" i="1"/>
  <c r="K56" i="1" s="1"/>
  <c r="H57" i="1"/>
  <c r="K57" i="1" s="1"/>
  <c r="H36" i="1"/>
  <c r="K36" i="1" s="1"/>
  <c r="H37" i="1"/>
  <c r="K37" i="1" s="1"/>
  <c r="H38" i="1"/>
  <c r="K38" i="1" s="1"/>
  <c r="H39" i="1"/>
  <c r="K39" i="1" s="1"/>
  <c r="H40" i="1"/>
  <c r="K40" i="1" s="1"/>
  <c r="H41" i="1"/>
  <c r="K41" i="1" s="1"/>
  <c r="H42" i="1"/>
  <c r="K42" i="1" s="1"/>
  <c r="H43" i="1"/>
  <c r="K43" i="1" s="1"/>
  <c r="H44" i="1"/>
  <c r="K44" i="1" s="1"/>
  <c r="H45" i="1"/>
  <c r="K45" i="1" s="1"/>
  <c r="H34" i="1"/>
  <c r="K34" i="1" s="1"/>
  <c r="H24" i="1"/>
  <c r="K24" i="1" s="1"/>
  <c r="M5" i="1"/>
  <c r="H12" i="1"/>
  <c r="H13" i="1"/>
  <c r="K13" i="1" s="1"/>
  <c r="H14" i="1"/>
  <c r="K14" i="1" s="1"/>
  <c r="H15" i="1"/>
  <c r="K15" i="1" s="1"/>
  <c r="H16" i="1"/>
  <c r="K16" i="1" s="1"/>
  <c r="H17" i="1"/>
  <c r="K17" i="1" s="1"/>
  <c r="H18" i="1"/>
  <c r="K18" i="1" s="1"/>
  <c r="H19" i="1"/>
  <c r="K19" i="1" s="1"/>
  <c r="H20" i="1"/>
  <c r="K20" i="1" s="1"/>
  <c r="H21" i="1"/>
  <c r="K21" i="1" s="1"/>
  <c r="H22" i="1"/>
  <c r="K22" i="1" s="1"/>
  <c r="H23" i="1"/>
  <c r="K23" i="1" s="1"/>
  <c r="H25" i="1"/>
  <c r="K25" i="1" s="1"/>
  <c r="H26" i="1"/>
  <c r="K26" i="1" s="1"/>
  <c r="H27" i="1"/>
  <c r="K27" i="1" s="1"/>
  <c r="H28" i="1"/>
  <c r="K28" i="1" s="1"/>
  <c r="H29" i="1"/>
  <c r="K29" i="1" s="1"/>
  <c r="H30" i="1"/>
  <c r="K30" i="1" s="1"/>
  <c r="H31" i="1"/>
  <c r="K31" i="1" s="1"/>
  <c r="K12" i="1" l="1"/>
  <c r="J10" i="1" s="1"/>
  <c r="J100" i="1"/>
  <c r="H75" i="1" l="1"/>
  <c r="H89" i="1"/>
  <c r="K89" i="1" s="1"/>
  <c r="K75" i="1" l="1"/>
  <c r="H4" i="1"/>
  <c r="J88" i="1"/>
  <c r="J74" i="1"/>
  <c r="J59" i="1"/>
  <c r="J33" i="1"/>
  <c r="J4" i="1" s="1"/>
  <c r="K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jvangelder</author>
  </authors>
  <commentList>
    <comment ref="B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Let op: 
</t>
        </r>
        <r>
          <rPr>
            <sz val="9"/>
            <color indexed="81"/>
            <rFont val="Tahoma"/>
            <family val="2"/>
          </rPr>
          <t>De waarden in deze kolom moeten alfabetisch gesorteerd zijn!</t>
        </r>
      </text>
    </comment>
  </commentList>
</comments>
</file>

<file path=xl/sharedStrings.xml><?xml version="1.0" encoding="utf-8"?>
<sst xmlns="http://schemas.openxmlformats.org/spreadsheetml/2006/main" count="179" uniqueCount="154">
  <si>
    <t>3.1</t>
  </si>
  <si>
    <t>Architectuur</t>
  </si>
  <si>
    <t>3.2</t>
  </si>
  <si>
    <t>4.1</t>
  </si>
  <si>
    <t>4.2</t>
  </si>
  <si>
    <t>4.3</t>
  </si>
  <si>
    <t>4.4</t>
  </si>
  <si>
    <t>5.1</t>
  </si>
  <si>
    <t>Helpdesk</t>
  </si>
  <si>
    <t>5.2</t>
  </si>
  <si>
    <t>Publicatie</t>
  </si>
  <si>
    <t>Promotie</t>
  </si>
  <si>
    <t>Klachtenafhandeling</t>
  </si>
  <si>
    <t>Strategie</t>
  </si>
  <si>
    <t>Tactiek</t>
  </si>
  <si>
    <t>Operationeel</t>
  </si>
  <si>
    <t>Implementatieondersteuning</t>
  </si>
  <si>
    <t>Communicatie</t>
  </si>
  <si>
    <t>WpJ</t>
  </si>
  <si>
    <t>Uren</t>
  </si>
  <si>
    <t>Bedrag</t>
  </si>
  <si>
    <t>H</t>
  </si>
  <si>
    <t>L</t>
  </si>
  <si>
    <t>Tar</t>
  </si>
  <si>
    <t>Moduleontwikkeling</t>
  </si>
  <si>
    <t>Ontwikkeling</t>
  </si>
  <si>
    <t>Documentatie</t>
  </si>
  <si>
    <t>Adoptie &amp; erkenning</t>
  </si>
  <si>
    <t>UpW</t>
  </si>
  <si>
    <t>M</t>
  </si>
  <si>
    <t>#</t>
  </si>
  <si>
    <t>specifieke hulpmiddelen voor het beheer</t>
  </si>
  <si>
    <t>marketingkosten</t>
  </si>
  <si>
    <t>representatiekosten</t>
  </si>
  <si>
    <t>reis- en verblijfkosten</t>
  </si>
  <si>
    <t>kosten voor bijeenkomsten</t>
  </si>
  <si>
    <t>zaalhuur</t>
  </si>
  <si>
    <t>catering</t>
  </si>
  <si>
    <t>software</t>
  </si>
  <si>
    <t>hardware</t>
  </si>
  <si>
    <t>lunches</t>
  </si>
  <si>
    <t>2.1</t>
  </si>
  <si>
    <t>2.2</t>
  </si>
  <si>
    <t>2.3</t>
  </si>
  <si>
    <t>3.3</t>
  </si>
  <si>
    <t>3.4</t>
  </si>
  <si>
    <t>5.3</t>
  </si>
  <si>
    <t>Weken per jaar</t>
  </si>
  <si>
    <t>Uren per week</t>
  </si>
  <si>
    <t>Bijvoorbeeld</t>
  </si>
  <si>
    <t>4 WpJ/ 8 UpW</t>
  </si>
  <si>
    <t>ieder kwartaal een dag voor dit onderwerp</t>
  </si>
  <si>
    <t>Tar H</t>
  </si>
  <si>
    <t>tarief</t>
  </si>
  <si>
    <t>Hoog</t>
  </si>
  <si>
    <t>midden</t>
  </si>
  <si>
    <t>Toelichting</t>
  </si>
  <si>
    <t>Overige kosten</t>
  </si>
  <si>
    <t>Wensen &amp; eisen</t>
  </si>
  <si>
    <t>Totaal aantal uren</t>
  </si>
  <si>
    <t>Validatie &amp; Cerificatie</t>
  </si>
  <si>
    <t>Uitvoering</t>
  </si>
  <si>
    <t>H is tarief van een senior adviseur (zie waarde in tabblad Lookup)</t>
  </si>
  <si>
    <t>Secretariaatsvoering en faciliteren van overleggremia</t>
  </si>
  <si>
    <t>Informatievoorziening en rapportage</t>
  </si>
  <si>
    <t>Ondersteuning van visie- en strategievorming</t>
  </si>
  <si>
    <t>Planning en coördinatie</t>
  </si>
  <si>
    <t>2.4</t>
  </si>
  <si>
    <t>Faciliteren van toetredingsprocessen</t>
  </si>
  <si>
    <t>Communicatieondersteuning voor governance</t>
  </si>
  <si>
    <t>Bewaken van stelselneutraliteit en -integriteit</t>
  </si>
  <si>
    <t>Financiële rapportage en verantwoording</t>
  </si>
  <si>
    <t>Ontwikkelen en onderhouden van financiële modellen</t>
  </si>
  <si>
    <t>Opstellen jaarplan /begroting</t>
  </si>
  <si>
    <t>Onderhouden contact toezichthouder</t>
  </si>
  <si>
    <t>Ontwikkelen en onderhouden van visiedocumenten</t>
  </si>
  <si>
    <t>Signaleren en analyseren van relevante ontwikkelingen</t>
  </si>
  <si>
    <t>2.5</t>
  </si>
  <si>
    <t>Periodieke herijking van de businesscase</t>
  </si>
  <si>
    <t>Communiceren over de waarde van het stelsel</t>
  </si>
  <si>
    <t>Initiële ontwikkeling en onderbouwing van de businesscase</t>
  </si>
  <si>
    <t>In kaart brengen en beheren van relaties met andere stelsels/standaarden</t>
  </si>
  <si>
    <t>Organiseren van afstemming met overige stelsels en standaarden</t>
  </si>
  <si>
    <t>Monitoren van relevante internationale ontwikkelingen</t>
  </si>
  <si>
    <t>Inrichten en onderhouden (werkgroep)kennis deel platform</t>
  </si>
  <si>
    <t>52 WpJ/ 16 UpW</t>
  </si>
  <si>
    <t>structureel werk wat twee werkdagen per week kost</t>
  </si>
  <si>
    <t>Maken / bijhouden en uitleg geven architectuur</t>
  </si>
  <si>
    <t>Opstellen en uitvoeren van jaarlijks communicatie- en stimuleringsplan</t>
  </si>
  <si>
    <t>Organiseren van promotieactiviteiten gericht op verschillende doelgroepen</t>
  </si>
  <si>
    <t>Uitdragen nut en voordeel van het afsprakenstelsel</t>
  </si>
  <si>
    <t>Werven en behouden van relevante stakeholders</t>
  </si>
  <si>
    <t>Stimuleren van actieve participatie</t>
  </si>
  <si>
    <t>Ontwikkelen van referentie-implementaties</t>
  </si>
  <si>
    <t>Werkgroepen</t>
  </si>
  <si>
    <t>Voorzitten, voorbereiden en ondersteuning werkgroepen</t>
  </si>
  <si>
    <t>Risicoanalyse</t>
  </si>
  <si>
    <t>Roadmapping</t>
  </si>
  <si>
    <t>Deelnemen aan internationale gremia / volgen internationale ontwikkelingen </t>
  </si>
  <si>
    <t>Ontwikkelen en beheren van de roadmap</t>
  </si>
  <si>
    <t>Organiseren van rapportage over resultaten</t>
  </si>
  <si>
    <t>Organiseren /uitvoeren van periodieke (stelsel-) risicoanalyses</t>
  </si>
  <si>
    <t>Ontwikkelen van kaders met normen rond informatiebeveiliging</t>
  </si>
  <si>
    <t>Implementeren van een plan-do-check-act-cyclus voor risicobeheer</t>
  </si>
  <si>
    <t>Maken van opdrachten en bijdragen aan doelstellingen (deelprojecten)</t>
  </si>
  <si>
    <t xml:space="preserve">Beheren administreren van wijzigingsverzoeken </t>
  </si>
  <si>
    <t>Coördineren van conceptuele toetsing</t>
  </si>
  <si>
    <t>Organiseren van ontwikkelactiviteiten</t>
  </si>
  <si>
    <t>Coördineren van implementatie wijzigingen</t>
  </si>
  <si>
    <t>Versiebeheer en -uitrol</t>
  </si>
  <si>
    <t>Beheren van specificaties en documenten</t>
  </si>
  <si>
    <t>Publiceren van documentatie </t>
  </si>
  <si>
    <t>Actualiseren van documentatie</t>
  </si>
  <si>
    <t>Pilot /vernieuwing</t>
  </si>
  <si>
    <t xml:space="preserve">Beantwoorden van vragen </t>
  </si>
  <si>
    <t>Afhandelen van incidenten / calamiteiten</t>
  </si>
  <si>
    <t>Ondersteunen van validatieproces </t>
  </si>
  <si>
    <t>Beheren van testomgeving</t>
  </si>
  <si>
    <t>Ontwikkelen van een technisch adoptiebeleid</t>
  </si>
  <si>
    <t>Behoefteanalyse en prioritering</t>
  </si>
  <si>
    <t>Begeleiden van ontwikkeling pilots</t>
  </si>
  <si>
    <t>Nieuw</t>
  </si>
  <si>
    <t>In ontwikkeling</t>
  </si>
  <si>
    <t>Volwassen</t>
  </si>
  <si>
    <t>Uitfaseren</t>
  </si>
  <si>
    <t>Is het een nieuw, beginnend, volwassen of een stelsel in uitfasering?</t>
  </si>
  <si>
    <t>Ontwikkelen en uitvoeren van een (jaarlijks) communicatieplan</t>
  </si>
  <si>
    <t>Formuleren van kernboodschappen voor verschillende stakeholders</t>
  </si>
  <si>
    <t>Merkbeheer en branding</t>
  </si>
  <si>
    <t>Inrichten en onderhouden van communicatiekanale</t>
  </si>
  <si>
    <t>Beschikbaar stellen van documentatie</t>
  </si>
  <si>
    <t>Inrichten van klachtenprocedures</t>
  </si>
  <si>
    <t>Organiseren van feedback</t>
  </si>
  <si>
    <t>NAAM (OFFERTE) opdracht beheer afsprakenstelsel</t>
  </si>
  <si>
    <t>1.1</t>
  </si>
  <si>
    <t>1.2</t>
  </si>
  <si>
    <t>1.3</t>
  </si>
  <si>
    <t>1.4</t>
  </si>
  <si>
    <t>1.5</t>
  </si>
  <si>
    <t>Businesscase</t>
  </si>
  <si>
    <t>Toezicht</t>
  </si>
  <si>
    <t>Financiën</t>
  </si>
  <si>
    <t>Visie</t>
  </si>
  <si>
    <t>Governance</t>
  </si>
  <si>
    <t>laag</t>
  </si>
  <si>
    <r>
      <t xml:space="preserve">Totaal </t>
    </r>
    <r>
      <rPr>
        <u/>
        <sz val="11"/>
        <color theme="0" tint="-0.499984740745262"/>
        <rFont val="Tenorite"/>
      </rPr>
      <t>excl</t>
    </r>
    <r>
      <rPr>
        <sz val="11"/>
        <color theme="0" tint="-0.499984740745262"/>
        <rFont val="Tenorite"/>
      </rPr>
      <t xml:space="preserve"> BTW</t>
    </r>
  </si>
  <si>
    <r>
      <t xml:space="preserve">Totaal </t>
    </r>
    <r>
      <rPr>
        <u/>
        <sz val="11"/>
        <color theme="0" tint="-0.34998626667073579"/>
        <rFont val="Tenorite"/>
      </rPr>
      <t>incl</t>
    </r>
    <r>
      <rPr>
        <sz val="11"/>
        <color theme="0" tint="-0.34998626667073579"/>
        <rFont val="Tenorite"/>
      </rPr>
      <t xml:space="preserve"> BTW</t>
    </r>
  </si>
  <si>
    <t>Vul de geel gemarkeerde velden in, verwijder daarna deze tekst. Vul de uurtarief in in het tabblad Lookup</t>
  </si>
  <si>
    <t>Faciliteren changemanagementproces</t>
  </si>
  <si>
    <t>locatiekosten beheerteam (indien ruimte van eigen organisatie niet toereikend is)</t>
  </si>
  <si>
    <t>Factor</t>
  </si>
  <si>
    <t>Fase volwassenheid</t>
  </si>
  <si>
    <t>Uurtarieven 2025</t>
  </si>
  <si>
    <t>Tariefsoort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</si>
</sst>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€&quot;\ * #,##0.00_ ;_ &quot;€&quot;\ * \-#,##0.00_ ;_ &quot;€&quot;\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enorite"/>
    </font>
    <font>
      <u/>
      <sz val="11"/>
      <color theme="0" tint="-0.499984740745262"/>
      <name val="Tenorite"/>
    </font>
    <font>
      <sz val="11"/>
      <color theme="0" tint="-0.499984740745262"/>
      <name val="Tenorite"/>
    </font>
    <font>
      <sz val="11"/>
      <color theme="0" tint="-0.34998626667073579"/>
      <name val="Tenorite"/>
    </font>
    <font>
      <u/>
      <sz val="11"/>
      <color theme="0" tint="-0.34998626667073579"/>
      <name val="Tenorite"/>
    </font>
    <font>
      <b/>
      <sz val="11"/>
      <color theme="1"/>
      <name val="Tenorite"/>
    </font>
    <font>
      <b/>
      <sz val="12"/>
      <name val="Tenorite"/>
    </font>
    <font>
      <b/>
      <sz val="11"/>
      <color theme="0" tint="-0.34998626667073579"/>
      <name val="Tenorite"/>
    </font>
    <font>
      <sz val="8"/>
      <color rgb="FF4D4D4C"/>
      <name val="Tenorite"/>
    </font>
    <font>
      <b/>
      <u/>
      <sz val="11"/>
      <color theme="1"/>
      <name val="Tenorite"/>
    </font>
    <font>
      <u val="singleAccounting"/>
      <sz val="11"/>
      <color theme="1"/>
      <name val="Tenorite"/>
    </font>
    <font>
      <sz val="12"/>
      <name val="Tenorite"/>
    </font>
    <font>
      <i/>
      <sz val="12"/>
      <name val="Tenorite"/>
    </font>
    <font>
      <sz val="12"/>
      <color theme="1"/>
      <name val="Tenorite"/>
    </font>
    <font>
      <sz val="11"/>
      <color rgb="FFFF0000"/>
      <name val="Tenorite"/>
    </font>
    <font>
      <b/>
      <i/>
      <sz val="11"/>
      <color theme="1"/>
      <name val="Tenorite"/>
    </font>
    <font>
      <i/>
      <sz val="11"/>
      <color theme="1"/>
      <name val="Tenorite"/>
    </font>
    <font>
      <i/>
      <sz val="12"/>
      <color theme="1"/>
      <name val="Tenorite"/>
    </font>
    <font>
      <b/>
      <sz val="12"/>
      <color theme="1"/>
      <name val="Tenorite"/>
    </font>
    <font>
      <u/>
      <sz val="11"/>
      <color theme="1"/>
      <name val="Tenorite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615"/>
        <bgColor indexed="64"/>
      </patternFill>
    </fill>
    <fill>
      <patternFill patternType="solid">
        <fgColor rgb="FF75D2B5"/>
        <bgColor indexed="64"/>
      </patternFill>
    </fill>
    <fill>
      <patternFill patternType="solid">
        <fgColor rgb="FFE27000"/>
        <bgColor indexed="64"/>
      </patternFill>
    </fill>
    <fill>
      <patternFill patternType="solid">
        <fgColor rgb="FF8FCBE5"/>
        <bgColor indexed="64"/>
      </patternFill>
    </fill>
    <fill>
      <patternFill patternType="solid">
        <fgColor rgb="FF488E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9870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73">
    <xf numFmtId="0" fontId="0" fillId="0" borderId="0" xfId="0"/>
    <xf numFmtId="0" fontId="4" fillId="0" borderId="0" xfId="0" applyFont="1"/>
    <xf numFmtId="44" fontId="9" fillId="9" borderId="0" xfId="0" applyNumberFormat="1" applyFont="1" applyFill="1"/>
    <xf numFmtId="0" fontId="4" fillId="9" borderId="0" xfId="0" applyFont="1" applyFill="1"/>
    <xf numFmtId="0" fontId="9" fillId="9" borderId="0" xfId="0" applyFont="1" applyFill="1"/>
    <xf numFmtId="44" fontId="9" fillId="9" borderId="12" xfId="0" applyNumberFormat="1" applyFont="1" applyFill="1" applyBorder="1"/>
    <xf numFmtId="44" fontId="10" fillId="9" borderId="8" xfId="0" applyNumberFormat="1" applyFont="1" applyFill="1" applyBorder="1"/>
    <xf numFmtId="0" fontId="12" fillId="0" borderId="10" xfId="0" applyFont="1" applyBorder="1"/>
    <xf numFmtId="0" fontId="12" fillId="0" borderId="0" xfId="0" applyFont="1"/>
    <xf numFmtId="0" fontId="9" fillId="0" borderId="0" xfId="0" applyFont="1" applyProtection="1">
      <protection locked="0"/>
    </xf>
    <xf numFmtId="0" fontId="13" fillId="11" borderId="0" xfId="0" applyFont="1" applyFill="1"/>
    <xf numFmtId="0" fontId="4" fillId="11" borderId="0" xfId="0" applyFont="1" applyFill="1"/>
    <xf numFmtId="0" fontId="9" fillId="0" borderId="0" xfId="0" applyFont="1"/>
    <xf numFmtId="0" fontId="9" fillId="11" borderId="0" xfId="0" applyFont="1" applyFill="1"/>
    <xf numFmtId="0" fontId="10" fillId="8" borderId="1" xfId="0" applyFont="1" applyFill="1" applyBorder="1" applyAlignment="1">
      <alignment horizontal="left"/>
    </xf>
    <xf numFmtId="0" fontId="10" fillId="8" borderId="1" xfId="0" applyFont="1" applyFill="1" applyBorder="1"/>
    <xf numFmtId="44" fontId="14" fillId="0" borderId="1" xfId="0" applyNumberFormat="1" applyFont="1" applyBorder="1"/>
    <xf numFmtId="0" fontId="15" fillId="8" borderId="1" xfId="0" applyFont="1" applyFill="1" applyBorder="1"/>
    <xf numFmtId="0" fontId="16" fillId="8" borderId="1" xfId="0" applyFont="1" applyFill="1" applyBorder="1"/>
    <xf numFmtId="0" fontId="4" fillId="2" borderId="1" xfId="0" applyFont="1" applyFill="1" applyBorder="1" applyProtection="1">
      <protection locked="0"/>
    </xf>
    <xf numFmtId="0" fontId="4" fillId="0" borderId="1" xfId="0" applyFont="1" applyBorder="1"/>
    <xf numFmtId="44" fontId="4" fillId="0" borderId="0" xfId="1" applyFont="1"/>
    <xf numFmtId="0" fontId="17" fillId="10" borderId="0" xfId="0" applyFont="1" applyFill="1"/>
    <xf numFmtId="0" fontId="15" fillId="10" borderId="1" xfId="0" applyFont="1" applyFill="1" applyBorder="1"/>
    <xf numFmtId="0" fontId="16" fillId="10" borderId="1" xfId="0" applyFont="1" applyFill="1" applyBorder="1"/>
    <xf numFmtId="0" fontId="18" fillId="0" borderId="0" xfId="0" applyFont="1"/>
    <xf numFmtId="0" fontId="19" fillId="11" borderId="0" xfId="0" applyFont="1" applyFill="1"/>
    <xf numFmtId="0" fontId="20" fillId="11" borderId="0" xfId="0" applyFont="1" applyFill="1"/>
    <xf numFmtId="0" fontId="20" fillId="0" borderId="0" xfId="0" applyFont="1"/>
    <xf numFmtId="0" fontId="4" fillId="2" borderId="0" xfId="0" applyFont="1" applyFill="1"/>
    <xf numFmtId="0" fontId="4" fillId="0" borderId="0" xfId="0" applyFont="1" applyAlignment="1">
      <alignment horizontal="left"/>
    </xf>
    <xf numFmtId="0" fontId="10" fillId="5" borderId="1" xfId="0" applyFont="1" applyFill="1" applyBorder="1" applyAlignment="1">
      <alignment horizontal="left"/>
    </xf>
    <xf numFmtId="0" fontId="15" fillId="5" borderId="1" xfId="0" applyFont="1" applyFill="1" applyBorder="1" applyAlignment="1">
      <alignment horizontal="left"/>
    </xf>
    <xf numFmtId="0" fontId="16" fillId="5" borderId="1" xfId="0" applyFont="1" applyFill="1" applyBorder="1" applyAlignment="1">
      <alignment horizontal="left"/>
    </xf>
    <xf numFmtId="0" fontId="20" fillId="2" borderId="1" xfId="0" applyFont="1" applyFill="1" applyBorder="1" applyProtection="1">
      <protection locked="0"/>
    </xf>
    <xf numFmtId="44" fontId="20" fillId="0" borderId="0" xfId="1" applyFont="1"/>
    <xf numFmtId="0" fontId="22" fillId="6" borderId="1" xfId="0" applyFont="1" applyFill="1" applyBorder="1" applyAlignment="1">
      <alignment horizontal="left"/>
    </xf>
    <xf numFmtId="0" fontId="17" fillId="6" borderId="1" xfId="0" applyFont="1" applyFill="1" applyBorder="1" applyAlignment="1">
      <alignment horizontal="left"/>
    </xf>
    <xf numFmtId="0" fontId="21" fillId="6" borderId="1" xfId="0" applyFont="1" applyFill="1" applyBorder="1" applyAlignment="1">
      <alignment horizontal="left"/>
    </xf>
    <xf numFmtId="0" fontId="4" fillId="2" borderId="2" xfId="0" applyFont="1" applyFill="1" applyBorder="1" applyProtection="1">
      <protection locked="0"/>
    </xf>
    <xf numFmtId="0" fontId="4" fillId="2" borderId="3" xfId="0" applyFont="1" applyFill="1" applyBorder="1" applyProtection="1">
      <protection locked="0"/>
    </xf>
    <xf numFmtId="0" fontId="22" fillId="4" borderId="1" xfId="0" applyFont="1" applyFill="1" applyBorder="1" applyAlignment="1">
      <alignment horizontal="left"/>
    </xf>
    <xf numFmtId="44" fontId="4" fillId="0" borderId="0" xfId="0" applyNumberFormat="1" applyFont="1"/>
    <xf numFmtId="0" fontId="17" fillId="4" borderId="1" xfId="0" applyFont="1" applyFill="1" applyBorder="1" applyAlignment="1">
      <alignment horizontal="left"/>
    </xf>
    <xf numFmtId="0" fontId="21" fillId="4" borderId="1" xfId="0" applyFont="1" applyFill="1" applyBorder="1" applyAlignment="1">
      <alignment horizontal="left"/>
    </xf>
    <xf numFmtId="44" fontId="18" fillId="0" borderId="0" xfId="1" applyFont="1"/>
    <xf numFmtId="0" fontId="22" fillId="7" borderId="1" xfId="0" applyFont="1" applyFill="1" applyBorder="1" applyAlignment="1">
      <alignment horizontal="left"/>
    </xf>
    <xf numFmtId="0" fontId="17" fillId="7" borderId="1" xfId="0" applyFont="1" applyFill="1" applyBorder="1" applyAlignment="1">
      <alignment horizontal="left"/>
    </xf>
    <xf numFmtId="0" fontId="21" fillId="7" borderId="1" xfId="0" applyFont="1" applyFill="1" applyBorder="1" applyAlignment="1">
      <alignment horizontal="left"/>
    </xf>
    <xf numFmtId="0" fontId="23" fillId="3" borderId="1" xfId="0" applyFont="1" applyFill="1" applyBorder="1"/>
    <xf numFmtId="0" fontId="4" fillId="3" borderId="1" xfId="0" applyFont="1" applyFill="1" applyBorder="1"/>
    <xf numFmtId="0" fontId="20" fillId="3" borderId="1" xfId="0" applyFont="1" applyFill="1" applyBorder="1"/>
    <xf numFmtId="0" fontId="17" fillId="10" borderId="1" xfId="0" applyFont="1" applyFill="1" applyBorder="1"/>
    <xf numFmtId="0" fontId="21" fillId="10" borderId="1" xfId="0" applyFont="1" applyFill="1" applyBorder="1"/>
    <xf numFmtId="0" fontId="20" fillId="2" borderId="0" xfId="0" applyFont="1" applyFill="1"/>
    <xf numFmtId="44" fontId="9" fillId="0" borderId="0" xfId="0" applyNumberFormat="1" applyFont="1"/>
    <xf numFmtId="0" fontId="4" fillId="9" borderId="4" xfId="0" applyFont="1" applyFill="1" applyBorder="1"/>
    <xf numFmtId="0" fontId="4" fillId="9" borderId="5" xfId="0" applyFont="1" applyFill="1" applyBorder="1"/>
    <xf numFmtId="0" fontId="5" fillId="9" borderId="5" xfId="0" applyFont="1" applyFill="1" applyBorder="1"/>
    <xf numFmtId="0" fontId="6" fillId="9" borderId="5" xfId="0" applyFont="1" applyFill="1" applyBorder="1"/>
    <xf numFmtId="0" fontId="7" fillId="9" borderId="6" xfId="0" applyFont="1" applyFill="1" applyBorder="1"/>
    <xf numFmtId="44" fontId="11" fillId="9" borderId="7" xfId="0" applyNumberFormat="1" applyFont="1" applyFill="1" applyBorder="1"/>
    <xf numFmtId="0" fontId="4" fillId="9" borderId="10" xfId="0" applyFont="1" applyFill="1" applyBorder="1"/>
    <xf numFmtId="44" fontId="9" fillId="9" borderId="10" xfId="0" applyNumberFormat="1" applyFont="1" applyFill="1" applyBorder="1"/>
    <xf numFmtId="0" fontId="4" fillId="9" borderId="11" xfId="0" applyFont="1" applyFill="1" applyBorder="1"/>
    <xf numFmtId="44" fontId="9" fillId="9" borderId="9" xfId="0" applyNumberFormat="1" applyFont="1" applyFill="1" applyBorder="1"/>
    <xf numFmtId="0" fontId="9" fillId="9" borderId="10" xfId="0" applyFont="1" applyFill="1" applyBorder="1"/>
    <xf numFmtId="44" fontId="10" fillId="2" borderId="8" xfId="0" applyNumberFormat="1" applyFont="1" applyFill="1" applyBorder="1" applyProtection="1">
      <protection locked="0"/>
    </xf>
    <xf numFmtId="0" fontId="9" fillId="2" borderId="0" xfId="0" applyFont="1" applyFill="1" applyProtection="1">
      <protection locked="0"/>
    </xf>
    <xf numFmtId="44" fontId="4" fillId="2" borderId="1" xfId="0" applyNumberFormat="1" applyFont="1" applyFill="1" applyBorder="1" applyProtection="1">
      <protection locked="0"/>
    </xf>
    <xf numFmtId="44" fontId="4" fillId="2" borderId="1" xfId="1" applyFont="1" applyFill="1" applyBorder="1"/>
    <xf numFmtId="0" fontId="9" fillId="12" borderId="1" xfId="0" applyFont="1" applyFill="1" applyBorder="1"/>
    <xf numFmtId="0" fontId="4" fillId="0" borderId="0" xfId="0" applyFont="1" applyFill="1"/>
  </cellXfs>
  <cellStyles count="3">
    <cellStyle name="Standaard" xfId="0" builtinId="0"/>
    <cellStyle name="Standaard 2" xfId="2" xr:uid="{CA38D79A-CB67-48C5-BA18-D56A24ADB332}"/>
    <cellStyle name="Valuta" xfId="1" builtinId="4"/>
  </cellStyles>
  <dxfs count="0"/>
  <tableStyles count="0" defaultTableStyle="TableStyleMedium9" defaultPivotStyle="PivotStyleLight16"/>
  <colors>
    <mruColors>
      <color rgb="FF75D2B5"/>
      <color rgb="FF39870D"/>
      <color rgb="FF488E1B"/>
      <color rgb="FF8FCBE5"/>
      <color rgb="FFE27000"/>
      <color rgb="FFFFB615"/>
      <color rgb="FF00CC99"/>
      <color rgb="FF70AD47"/>
      <color rgb="FF5B9BD5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9526</xdr:colOff>
      <xdr:row>32</xdr:row>
      <xdr:rowOff>104776</xdr:rowOff>
    </xdr:from>
    <xdr:to>
      <xdr:col>10</xdr:col>
      <xdr:colOff>400051</xdr:colOff>
      <xdr:row>32</xdr:row>
      <xdr:rowOff>209551</xdr:rowOff>
    </xdr:to>
    <xdr:cxnSp macro="">
      <xdr:nvCxnSpPr>
        <xdr:cNvPr id="5" name="Gebogen verbindingslij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rot="10800000">
          <a:off x="7762876" y="2609851"/>
          <a:ext cx="390525" cy="104775"/>
        </a:xfrm>
        <a:prstGeom prst="bentConnector3">
          <a:avLst>
            <a:gd name="adj1" fmla="val 122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35719</xdr:colOff>
      <xdr:row>73</xdr:row>
      <xdr:rowOff>66200</xdr:rowOff>
    </xdr:from>
    <xdr:to>
      <xdr:col>10</xdr:col>
      <xdr:colOff>428149</xdr:colOff>
      <xdr:row>73</xdr:row>
      <xdr:rowOff>166213</xdr:rowOff>
    </xdr:to>
    <xdr:cxnSp macro="">
      <xdr:nvCxnSpPr>
        <xdr:cNvPr id="6" name="Gebogen verbindingslij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rot="10800000">
          <a:off x="8953500" y="14306075"/>
          <a:ext cx="392430" cy="100013"/>
        </a:xfrm>
        <a:prstGeom prst="bentConnector3">
          <a:avLst>
            <a:gd name="adj1" fmla="val 122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106681</xdr:colOff>
      <xdr:row>87</xdr:row>
      <xdr:rowOff>54770</xdr:rowOff>
    </xdr:from>
    <xdr:to>
      <xdr:col>10</xdr:col>
      <xdr:colOff>491491</xdr:colOff>
      <xdr:row>87</xdr:row>
      <xdr:rowOff>154783</xdr:rowOff>
    </xdr:to>
    <xdr:cxnSp macro="">
      <xdr:nvCxnSpPr>
        <xdr:cNvPr id="7" name="Gebogen verbindingslij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rot="10800000">
          <a:off x="9024462" y="17116426"/>
          <a:ext cx="384810" cy="100013"/>
        </a:xfrm>
        <a:prstGeom prst="bentConnector3">
          <a:avLst>
            <a:gd name="adj1" fmla="val 122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82869</xdr:colOff>
      <xdr:row>58</xdr:row>
      <xdr:rowOff>66200</xdr:rowOff>
    </xdr:from>
    <xdr:to>
      <xdr:col>10</xdr:col>
      <xdr:colOff>467679</xdr:colOff>
      <xdr:row>58</xdr:row>
      <xdr:rowOff>166212</xdr:rowOff>
    </xdr:to>
    <xdr:cxnSp macro="">
      <xdr:nvCxnSpPr>
        <xdr:cNvPr id="8" name="Gebogen verbindingslij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rot="10800000">
          <a:off x="9000650" y="11281888"/>
          <a:ext cx="384810" cy="100012"/>
        </a:xfrm>
        <a:prstGeom prst="bentConnector3">
          <a:avLst>
            <a:gd name="adj1" fmla="val 122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43816</xdr:colOff>
      <xdr:row>9</xdr:row>
      <xdr:rowOff>87631</xdr:rowOff>
    </xdr:from>
    <xdr:to>
      <xdr:col>10</xdr:col>
      <xdr:colOff>434341</xdr:colOff>
      <xdr:row>9</xdr:row>
      <xdr:rowOff>184786</xdr:rowOff>
    </xdr:to>
    <xdr:cxnSp macro="">
      <xdr:nvCxnSpPr>
        <xdr:cNvPr id="12" name="Gebogen verbindingslijn 4">
          <a:extLst>
            <a:ext uri="{FF2B5EF4-FFF2-40B4-BE49-F238E27FC236}">
              <a16:creationId xmlns:a16="http://schemas.microsoft.com/office/drawing/2014/main" id="{308F2417-CBB1-4D39-9887-7E832E011ABA}"/>
            </a:ext>
          </a:extLst>
        </xdr:cNvPr>
        <xdr:cNvCxnSpPr/>
      </xdr:nvCxnSpPr>
      <xdr:spPr>
        <a:xfrm rot="10800000">
          <a:off x="7785736" y="1002031"/>
          <a:ext cx="390525" cy="97155"/>
        </a:xfrm>
        <a:prstGeom prst="bentConnector3">
          <a:avLst>
            <a:gd name="adj1" fmla="val 122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572015</xdr:colOff>
      <xdr:row>21</xdr:row>
      <xdr:rowOff>3992</xdr:rowOff>
    </xdr:from>
    <xdr:to>
      <xdr:col>26</xdr:col>
      <xdr:colOff>246971</xdr:colOff>
      <xdr:row>45</xdr:row>
      <xdr:rowOff>111010</xdr:rowOff>
    </xdr:to>
    <xdr:pic>
      <xdr:nvPicPr>
        <xdr:cNvPr id="4" name="Afbeelding 3" descr="Afbeelding met tekst, schermopname, nummer, ontwerp&#10;&#10;Automatisch gegenereerde beschrijving">
          <a:extLst>
            <a:ext uri="{FF2B5EF4-FFF2-40B4-BE49-F238E27FC236}">
              <a16:creationId xmlns:a16="http://schemas.microsoft.com/office/drawing/2014/main" id="{6BDB38F2-7DA0-AF4D-DC67-8BC0D9DA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915" y="3566342"/>
          <a:ext cx="7528358" cy="4884757"/>
        </a:xfrm>
        <a:prstGeom prst="rect">
          <a:avLst/>
        </a:prstGeom>
      </xdr:spPr>
    </xdr:pic>
    <xdr:clientData/>
  </xdr:twoCellAnchor>
  <xdr:twoCellAnchor>
    <xdr:from>
      <xdr:col>7</xdr:col>
      <xdr:colOff>535781</xdr:colOff>
      <xdr:row>99</xdr:row>
      <xdr:rowOff>20002</xdr:rowOff>
    </xdr:from>
    <xdr:to>
      <xdr:col>7</xdr:col>
      <xdr:colOff>746283</xdr:colOff>
      <xdr:row>99</xdr:row>
      <xdr:rowOff>166687</xdr:rowOff>
    </xdr:to>
    <xdr:cxnSp macro="">
      <xdr:nvCxnSpPr>
        <xdr:cNvPr id="25" name="Gebogen verbindingslijn 6">
          <a:extLst>
            <a:ext uri="{FF2B5EF4-FFF2-40B4-BE49-F238E27FC236}">
              <a16:creationId xmlns:a16="http://schemas.microsoft.com/office/drawing/2014/main" id="{64807284-5F8F-4464-AA02-D8015BD84604}"/>
            </a:ext>
          </a:extLst>
        </xdr:cNvPr>
        <xdr:cNvCxnSpPr/>
      </xdr:nvCxnSpPr>
      <xdr:spPr>
        <a:xfrm flipV="1">
          <a:off x="7227094" y="19498627"/>
          <a:ext cx="210502" cy="146685"/>
        </a:xfrm>
        <a:prstGeom prst="bentConnector3">
          <a:avLst>
            <a:gd name="adj1" fmla="val -13364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111"/>
  <sheetViews>
    <sheetView tabSelected="1" topLeftCell="A68" zoomScale="80" zoomScaleNormal="80" workbookViewId="0">
      <selection activeCell="N100" sqref="N100"/>
    </sheetView>
  </sheetViews>
  <sheetFormatPr defaultColWidth="8.85546875" defaultRowHeight="15" x14ac:dyDescent="0.25"/>
  <cols>
    <col min="1" max="1" width="2.85546875" style="1" customWidth="1"/>
    <col min="2" max="2" width="5.140625" style="1" bestFit="1" customWidth="1"/>
    <col min="3" max="3" width="75.28515625" style="1" customWidth="1"/>
    <col min="4" max="4" width="2.7109375" style="1" customWidth="1"/>
    <col min="5" max="7" width="4.7109375" style="1" customWidth="1"/>
    <col min="8" max="8" width="14" style="1" bestFit="1" customWidth="1"/>
    <col min="9" max="9" width="4.7109375" style="1" customWidth="1"/>
    <col min="10" max="10" width="18" style="1" customWidth="1"/>
    <col min="11" max="11" width="16.140625" style="1" bestFit="1" customWidth="1"/>
    <col min="12" max="12" width="12.42578125" style="1" bestFit="1" customWidth="1"/>
    <col min="13" max="13" width="50.28515625" style="1" hidden="1" customWidth="1"/>
    <col min="14" max="14" width="15" style="1" customWidth="1"/>
    <col min="15" max="15" width="6" style="1" customWidth="1"/>
    <col min="16" max="18" width="4.7109375" style="1" customWidth="1"/>
    <col min="19" max="16384" width="8.85546875" style="1"/>
  </cols>
  <sheetData>
    <row r="1" spans="2:21" ht="13.9" x14ac:dyDescent="0.25">
      <c r="C1" s="54" t="s">
        <v>147</v>
      </c>
      <c r="D1" s="54"/>
      <c r="E1" s="54"/>
      <c r="F1" s="54"/>
      <c r="G1" s="54"/>
      <c r="H1" s="54"/>
    </row>
    <row r="2" spans="2:21" ht="14.45" thickBot="1" x14ac:dyDescent="0.3"/>
    <row r="3" spans="2:21" ht="14.45" thickBot="1" x14ac:dyDescent="0.3">
      <c r="C3" s="56"/>
      <c r="D3" s="57"/>
      <c r="E3" s="57"/>
      <c r="F3" s="58" t="s">
        <v>59</v>
      </c>
      <c r="G3" s="57"/>
      <c r="H3" s="57"/>
      <c r="I3" s="57"/>
      <c r="J3" s="59" t="s">
        <v>145</v>
      </c>
      <c r="K3" s="60" t="s">
        <v>146</v>
      </c>
    </row>
    <row r="4" spans="2:21" ht="16.149999999999999" thickBot="1" x14ac:dyDescent="0.35">
      <c r="C4" s="67" t="s">
        <v>133</v>
      </c>
      <c r="E4" s="4"/>
      <c r="F4" s="3"/>
      <c r="G4" s="3"/>
      <c r="H4" s="4">
        <f>SUM(H11:H98)</f>
        <v>0</v>
      </c>
      <c r="I4" s="3"/>
      <c r="J4" s="5">
        <f>SUM(J10,J33,J59,J74,J88,J100)*M5</f>
        <v>0</v>
      </c>
      <c r="K4" s="61">
        <f>J4*1.21</f>
        <v>0</v>
      </c>
    </row>
    <row r="5" spans="2:21" ht="16.149999999999999" thickTop="1" x14ac:dyDescent="0.3">
      <c r="B5" s="55"/>
      <c r="C5" s="6" t="s">
        <v>125</v>
      </c>
      <c r="D5" s="3"/>
      <c r="E5" s="4"/>
      <c r="F5" s="3"/>
      <c r="G5" s="3"/>
      <c r="H5" s="68" t="s">
        <v>121</v>
      </c>
      <c r="I5" s="3"/>
      <c r="J5" s="2"/>
      <c r="K5" s="61"/>
      <c r="M5" s="1">
        <f>VLOOKUP(Werkzaamheden!H5,Lookup!B9:C12,2,FALSE)</f>
        <v>1.3</v>
      </c>
    </row>
    <row r="6" spans="2:21" ht="14.45" thickBot="1" x14ac:dyDescent="0.3">
      <c r="B6" s="55"/>
      <c r="C6" s="65"/>
      <c r="D6" s="62"/>
      <c r="E6" s="66"/>
      <c r="F6" s="62"/>
      <c r="G6" s="62"/>
      <c r="H6" s="7"/>
      <c r="I6" s="62"/>
      <c r="J6" s="63"/>
      <c r="K6" s="64"/>
      <c r="M6" s="8"/>
    </row>
    <row r="7" spans="2:21" ht="13.9" x14ac:dyDescent="0.25">
      <c r="C7" s="9"/>
    </row>
    <row r="8" spans="2:21" ht="13.9" x14ac:dyDescent="0.25">
      <c r="C8" s="9"/>
      <c r="N8" s="10" t="s">
        <v>56</v>
      </c>
      <c r="O8" s="11"/>
      <c r="P8" s="11"/>
      <c r="Q8" s="11"/>
      <c r="R8" s="11"/>
      <c r="S8" s="11"/>
      <c r="T8" s="11"/>
      <c r="U8" s="11"/>
    </row>
    <row r="9" spans="2:21" ht="13.9" x14ac:dyDescent="0.25">
      <c r="E9" s="72"/>
      <c r="F9" s="72"/>
      <c r="G9" s="72"/>
      <c r="H9" s="72"/>
      <c r="J9" s="1" t="s">
        <v>20</v>
      </c>
      <c r="N9" s="13" t="s">
        <v>18</v>
      </c>
      <c r="O9" s="11" t="s">
        <v>47</v>
      </c>
      <c r="P9" s="11"/>
      <c r="Q9" s="11"/>
      <c r="R9" s="11"/>
      <c r="S9" s="11"/>
      <c r="T9" s="11"/>
      <c r="U9" s="11"/>
    </row>
    <row r="10" spans="2:21" ht="16.899999999999999" x14ac:dyDescent="0.4">
      <c r="B10" s="14">
        <v>1</v>
      </c>
      <c r="C10" s="15" t="s">
        <v>13</v>
      </c>
      <c r="E10" s="4" t="s">
        <v>18</v>
      </c>
      <c r="F10" s="4" t="s">
        <v>28</v>
      </c>
      <c r="G10" s="4" t="s">
        <v>23</v>
      </c>
      <c r="H10" s="3" t="s">
        <v>19</v>
      </c>
      <c r="I10" s="72"/>
      <c r="J10" s="16">
        <f>SUM(K11:K31)</f>
        <v>0</v>
      </c>
      <c r="N10" s="13" t="s">
        <v>28</v>
      </c>
      <c r="O10" s="11" t="s">
        <v>48</v>
      </c>
      <c r="P10" s="11"/>
      <c r="Q10" s="11"/>
      <c r="R10" s="11"/>
      <c r="S10" s="11"/>
      <c r="T10" s="11"/>
      <c r="U10" s="11"/>
    </row>
    <row r="11" spans="2:21" ht="15.6" x14ac:dyDescent="0.3">
      <c r="B11" s="17" t="s">
        <v>134</v>
      </c>
      <c r="C11" s="18" t="s">
        <v>143</v>
      </c>
      <c r="E11" s="19"/>
      <c r="F11" s="19"/>
      <c r="G11" s="19"/>
      <c r="H11" s="20"/>
      <c r="K11" s="21"/>
      <c r="M11" s="21"/>
      <c r="N11" s="13" t="s">
        <v>49</v>
      </c>
      <c r="O11" s="11"/>
      <c r="P11" s="11"/>
      <c r="Q11" s="11"/>
      <c r="R11" s="11"/>
      <c r="S11" s="11"/>
      <c r="T11" s="11"/>
      <c r="U11" s="11"/>
    </row>
    <row r="12" spans="2:21" ht="15.6" x14ac:dyDescent="0.3">
      <c r="B12" s="17"/>
      <c r="C12" s="17" t="s">
        <v>63</v>
      </c>
      <c r="E12" s="19"/>
      <c r="F12" s="19"/>
      <c r="G12" s="19"/>
      <c r="H12" s="20">
        <f>E12*F12</f>
        <v>0</v>
      </c>
      <c r="K12" s="21">
        <f>IF(H12=0, 0, _xlfn.IFNA(H12*LOOKUP(G12,Lookup!$B$3:$B$6,Lookup!$C$3:$C$6), 0))</f>
        <v>0</v>
      </c>
      <c r="M12" s="21"/>
      <c r="N12" s="13" t="s">
        <v>85</v>
      </c>
      <c r="O12" s="11" t="s">
        <v>86</v>
      </c>
      <c r="P12" s="11"/>
      <c r="Q12" s="11"/>
      <c r="R12" s="11"/>
      <c r="S12" s="11"/>
      <c r="T12" s="11"/>
      <c r="U12" s="11"/>
    </row>
    <row r="13" spans="2:21" ht="15.6" x14ac:dyDescent="0.3">
      <c r="B13" s="17"/>
      <c r="C13" s="22" t="s">
        <v>69</v>
      </c>
      <c r="E13" s="19"/>
      <c r="F13" s="19"/>
      <c r="G13" s="19"/>
      <c r="H13" s="20">
        <f t="shared" ref="H13:H31" si="0">E13*F13</f>
        <v>0</v>
      </c>
      <c r="K13" s="21">
        <f>IF(H13=0, 0, _xlfn.IFNA(H13*LOOKUP(G13,Lookup!$B$3:$B$6,Lookup!$C$3:$C$6), 0))</f>
        <v>0</v>
      </c>
      <c r="M13" s="21"/>
      <c r="N13" s="13" t="s">
        <v>50</v>
      </c>
      <c r="O13" s="11" t="s">
        <v>51</v>
      </c>
      <c r="P13" s="11"/>
      <c r="Q13" s="11"/>
      <c r="R13" s="11"/>
      <c r="S13" s="11"/>
      <c r="T13" s="11"/>
      <c r="U13" s="11"/>
    </row>
    <row r="14" spans="2:21" ht="15.75" x14ac:dyDescent="0.25">
      <c r="B14" s="17"/>
      <c r="C14" s="23" t="s">
        <v>66</v>
      </c>
      <c r="E14" s="19"/>
      <c r="F14" s="19"/>
      <c r="G14" s="19"/>
      <c r="H14" s="20">
        <f t="shared" si="0"/>
        <v>0</v>
      </c>
      <c r="K14" s="21">
        <f>IF(H14=0, 0, _xlfn.IFNA(H14*LOOKUP(G14,Lookup!$B$3:$B$6,Lookup!$C$3:$C$6), 0))</f>
        <v>0</v>
      </c>
      <c r="M14" s="21"/>
      <c r="N14" s="11"/>
      <c r="O14" s="11"/>
      <c r="P14" s="11"/>
      <c r="Q14" s="11"/>
      <c r="R14" s="11"/>
      <c r="S14" s="11"/>
      <c r="T14" s="11"/>
      <c r="U14" s="11"/>
    </row>
    <row r="15" spans="2:21" ht="15.6" x14ac:dyDescent="0.3">
      <c r="B15" s="17"/>
      <c r="C15" s="23" t="s">
        <v>64</v>
      </c>
      <c r="E15" s="19"/>
      <c r="F15" s="19"/>
      <c r="G15" s="19"/>
      <c r="H15" s="20">
        <f t="shared" si="0"/>
        <v>0</v>
      </c>
      <c r="K15" s="21">
        <f>IF(H15=0, 0, _xlfn.IFNA(H15*LOOKUP(G15,Lookup!$B$3:$B$6,Lookup!$C$3:$C$6), 0))</f>
        <v>0</v>
      </c>
      <c r="M15" s="21"/>
      <c r="N15" s="13" t="s">
        <v>23</v>
      </c>
      <c r="O15" s="11" t="s">
        <v>53</v>
      </c>
      <c r="P15" s="11"/>
      <c r="Q15" s="11"/>
      <c r="R15" s="11"/>
      <c r="S15" s="11"/>
      <c r="T15" s="11"/>
      <c r="U15" s="11"/>
    </row>
    <row r="16" spans="2:21" ht="15.6" x14ac:dyDescent="0.3">
      <c r="B16" s="17" t="s">
        <v>135</v>
      </c>
      <c r="C16" s="24" t="s">
        <v>142</v>
      </c>
      <c r="E16" s="19"/>
      <c r="F16" s="19"/>
      <c r="G16" s="19"/>
      <c r="H16" s="20">
        <f t="shared" si="0"/>
        <v>0</v>
      </c>
      <c r="K16" s="21">
        <f>IF(H16=0, 0, _xlfn.IFNA(H16*LOOKUP(G16,Lookup!$B$3:$B$6,Lookup!$C$3:$C$6), 0))</f>
        <v>0</v>
      </c>
      <c r="M16" s="25"/>
      <c r="N16" s="13" t="s">
        <v>21</v>
      </c>
      <c r="O16" s="11" t="s">
        <v>54</v>
      </c>
      <c r="P16" s="11"/>
      <c r="Q16" s="11"/>
      <c r="R16" s="11"/>
      <c r="S16" s="11"/>
      <c r="T16" s="11"/>
      <c r="U16" s="11"/>
    </row>
    <row r="17" spans="2:21" ht="15.6" x14ac:dyDescent="0.3">
      <c r="B17" s="17"/>
      <c r="C17" s="23" t="s">
        <v>65</v>
      </c>
      <c r="E17" s="19"/>
      <c r="F17" s="19"/>
      <c r="G17" s="19"/>
      <c r="H17" s="20">
        <f t="shared" si="0"/>
        <v>0</v>
      </c>
      <c r="K17" s="21">
        <f>IF(H17=0, 0, _xlfn.IFNA(H17*LOOKUP(G17,Lookup!$B$3:$B$6,Lookup!$C$3:$C$6), 0))</f>
        <v>0</v>
      </c>
      <c r="M17" s="25"/>
      <c r="N17" s="13" t="s">
        <v>29</v>
      </c>
      <c r="O17" s="11" t="s">
        <v>55</v>
      </c>
      <c r="P17" s="11"/>
      <c r="Q17" s="11"/>
      <c r="R17" s="11"/>
      <c r="S17" s="11"/>
      <c r="T17" s="11"/>
      <c r="U17" s="11"/>
    </row>
    <row r="18" spans="2:21" ht="15.6" x14ac:dyDescent="0.3">
      <c r="B18" s="17"/>
      <c r="C18" s="23" t="s">
        <v>75</v>
      </c>
      <c r="E18" s="19"/>
      <c r="F18" s="19"/>
      <c r="G18" s="19"/>
      <c r="H18" s="20">
        <f t="shared" si="0"/>
        <v>0</v>
      </c>
      <c r="K18" s="21">
        <f>IF(H18=0, 0, _xlfn.IFNA(H18*LOOKUP(G18,Lookup!$B$3:$B$6,Lookup!$C$3:$C$6), 0))</f>
        <v>0</v>
      </c>
      <c r="M18" s="25"/>
      <c r="N18" s="11" t="s">
        <v>22</v>
      </c>
      <c r="O18" s="11" t="s">
        <v>144</v>
      </c>
      <c r="P18" s="11"/>
      <c r="Q18" s="11"/>
      <c r="R18" s="11"/>
      <c r="S18" s="11"/>
      <c r="T18" s="11"/>
      <c r="U18" s="11"/>
    </row>
    <row r="19" spans="2:21" ht="15.6" x14ac:dyDescent="0.3">
      <c r="B19" s="17"/>
      <c r="C19" s="23" t="s">
        <v>76</v>
      </c>
      <c r="E19" s="19"/>
      <c r="F19" s="19"/>
      <c r="G19" s="19"/>
      <c r="H19" s="20">
        <f t="shared" si="0"/>
        <v>0</v>
      </c>
      <c r="K19" s="21">
        <f>IF(H19=0, 0, _xlfn.IFNA(H19*LOOKUP(G19,Lookup!$B$3:$B$6,Lookup!$C$3:$C$6), 0))</f>
        <v>0</v>
      </c>
      <c r="M19" s="25"/>
      <c r="N19" s="13" t="s">
        <v>49</v>
      </c>
      <c r="O19" s="11"/>
      <c r="P19" s="11"/>
      <c r="Q19" s="11"/>
      <c r="R19" s="11"/>
      <c r="S19" s="11"/>
      <c r="T19" s="11"/>
      <c r="U19" s="11"/>
    </row>
    <row r="20" spans="2:21" ht="15.75" x14ac:dyDescent="0.25">
      <c r="B20" s="17" t="s">
        <v>136</v>
      </c>
      <c r="C20" s="24" t="s">
        <v>141</v>
      </c>
      <c r="E20" s="19"/>
      <c r="F20" s="19"/>
      <c r="G20" s="19"/>
      <c r="H20" s="20">
        <f t="shared" si="0"/>
        <v>0</v>
      </c>
      <c r="K20" s="21">
        <f>IF(H20=0, 0, _xlfn.IFNA(H20*LOOKUP(G20,Lookup!$B$3:$B$6,Lookup!$C$3:$C$6), 0))</f>
        <v>0</v>
      </c>
      <c r="M20" s="25"/>
      <c r="N20" s="26" t="s">
        <v>52</v>
      </c>
      <c r="O20" s="27"/>
      <c r="P20" s="11"/>
      <c r="Q20" s="11"/>
      <c r="R20" s="11"/>
      <c r="S20" s="11"/>
      <c r="T20" s="11"/>
      <c r="U20" s="11"/>
    </row>
    <row r="21" spans="2:21" ht="15.75" x14ac:dyDescent="0.25">
      <c r="B21" s="17"/>
      <c r="C21" s="23" t="s">
        <v>72</v>
      </c>
      <c r="E21" s="19"/>
      <c r="F21" s="19"/>
      <c r="G21" s="19"/>
      <c r="H21" s="20">
        <f t="shared" si="0"/>
        <v>0</v>
      </c>
      <c r="K21" s="21">
        <f>IF(H21=0, 0, _xlfn.IFNA(H21*LOOKUP(G21,Lookup!$B$3:$B$6,Lookup!$C$3:$C$6), 0))</f>
        <v>0</v>
      </c>
      <c r="M21" s="25"/>
      <c r="N21" s="11" t="s">
        <v>62</v>
      </c>
      <c r="O21" s="11"/>
      <c r="P21" s="11"/>
      <c r="Q21" s="11"/>
      <c r="R21" s="11"/>
      <c r="S21" s="11"/>
      <c r="T21" s="11"/>
      <c r="U21" s="11"/>
    </row>
    <row r="22" spans="2:21" ht="15.75" x14ac:dyDescent="0.25">
      <c r="B22" s="17"/>
      <c r="C22" s="23" t="s">
        <v>71</v>
      </c>
      <c r="E22" s="19"/>
      <c r="F22" s="19"/>
      <c r="G22" s="19"/>
      <c r="H22" s="20">
        <f t="shared" si="0"/>
        <v>0</v>
      </c>
      <c r="K22" s="21">
        <f>IF(H22=0, 0, _xlfn.IFNA(H22*LOOKUP(G22,Lookup!$B$3:$B$6,Lookup!$C$3:$C$6), 0))</f>
        <v>0</v>
      </c>
      <c r="M22" s="25"/>
      <c r="P22" s="28"/>
      <c r="Q22" s="28"/>
    </row>
    <row r="23" spans="2:21" ht="15.6" x14ac:dyDescent="0.3">
      <c r="B23" s="17"/>
      <c r="C23" s="23" t="s">
        <v>73</v>
      </c>
      <c r="E23" s="19"/>
      <c r="F23" s="19"/>
      <c r="G23" s="19"/>
      <c r="H23" s="20">
        <f t="shared" si="0"/>
        <v>0</v>
      </c>
      <c r="K23" s="21">
        <f>IF(H23=0, 0, _xlfn.IFNA(H23*LOOKUP(G23,Lookup!$B$3:$B$6,Lookup!$C$3:$C$6), 0))</f>
        <v>0</v>
      </c>
      <c r="M23" s="25"/>
      <c r="P23" s="29"/>
    </row>
    <row r="24" spans="2:21" ht="15.6" x14ac:dyDescent="0.3">
      <c r="B24" s="17" t="s">
        <v>137</v>
      </c>
      <c r="C24" s="24" t="s">
        <v>140</v>
      </c>
      <c r="E24" s="19"/>
      <c r="F24" s="19"/>
      <c r="G24" s="19"/>
      <c r="H24" s="20">
        <f t="shared" ref="H24" si="1">E24*F24</f>
        <v>0</v>
      </c>
      <c r="K24" s="21">
        <f>IF(H24=0, 0, _xlfn.IFNA(H24*LOOKUP(G24,Lookup!$B$3:$B$6,Lookup!$C$3:$C$6), 0))</f>
        <v>0</v>
      </c>
      <c r="M24" s="25"/>
    </row>
    <row r="25" spans="2:21" ht="15.6" x14ac:dyDescent="0.3">
      <c r="B25" s="17"/>
      <c r="C25" s="52" t="s">
        <v>70</v>
      </c>
      <c r="E25" s="19"/>
      <c r="F25" s="19"/>
      <c r="G25" s="19"/>
      <c r="H25" s="20">
        <f t="shared" si="0"/>
        <v>0</v>
      </c>
      <c r="K25" s="21">
        <f>IF(H25=0, 0, _xlfn.IFNA(H25*LOOKUP(G25,Lookup!$B$3:$B$6,Lookup!$C$3:$C$6), 0))</f>
        <v>0</v>
      </c>
      <c r="M25" s="25"/>
    </row>
    <row r="26" spans="2:21" ht="15.6" x14ac:dyDescent="0.3">
      <c r="B26" s="17"/>
      <c r="C26" s="52" t="s">
        <v>74</v>
      </c>
      <c r="E26" s="19"/>
      <c r="F26" s="19"/>
      <c r="G26" s="19"/>
      <c r="H26" s="20">
        <f t="shared" si="0"/>
        <v>0</v>
      </c>
      <c r="K26" s="21">
        <f>IF(H26=0, 0, _xlfn.IFNA(H26*LOOKUP(G26,Lookup!$B$3:$B$6,Lookup!$C$3:$C$6), 0))</f>
        <v>0</v>
      </c>
      <c r="M26" s="25"/>
    </row>
    <row r="27" spans="2:21" ht="15.6" x14ac:dyDescent="0.3">
      <c r="B27" s="17"/>
      <c r="C27" s="17" t="s">
        <v>68</v>
      </c>
      <c r="E27" s="19"/>
      <c r="F27" s="19"/>
      <c r="G27" s="19"/>
      <c r="H27" s="20">
        <f t="shared" si="0"/>
        <v>0</v>
      </c>
      <c r="K27" s="21">
        <f>IF(H27=0, 0, _xlfn.IFNA(H27*LOOKUP(G27,Lookup!$B$3:$B$6,Lookup!$C$3:$C$6), 0))</f>
        <v>0</v>
      </c>
      <c r="M27" s="25"/>
    </row>
    <row r="28" spans="2:21" ht="15.6" x14ac:dyDescent="0.3">
      <c r="B28" s="17" t="s">
        <v>138</v>
      </c>
      <c r="C28" s="53" t="s">
        <v>139</v>
      </c>
      <c r="E28" s="19"/>
      <c r="F28" s="19"/>
      <c r="G28" s="19"/>
      <c r="H28" s="20">
        <f t="shared" si="0"/>
        <v>0</v>
      </c>
      <c r="K28" s="21">
        <f>IF(H28=0, 0, _xlfn.IFNA(H28*LOOKUP(G28,Lookup!$B$3:$B$6,Lookup!$C$3:$C$6), 0))</f>
        <v>0</v>
      </c>
      <c r="M28" s="25"/>
    </row>
    <row r="29" spans="2:21" ht="15.6" x14ac:dyDescent="0.3">
      <c r="B29" s="17"/>
      <c r="C29" s="52" t="s">
        <v>78</v>
      </c>
      <c r="E29" s="19"/>
      <c r="F29" s="19"/>
      <c r="G29" s="19"/>
      <c r="H29" s="20">
        <f t="shared" si="0"/>
        <v>0</v>
      </c>
      <c r="K29" s="21">
        <f>IF(H29=0, 0, _xlfn.IFNA(H29*LOOKUP(G29,Lookup!$B$3:$B$6,Lookup!$C$3:$C$6), 0))</f>
        <v>0</v>
      </c>
      <c r="M29" s="25"/>
    </row>
    <row r="30" spans="2:21" ht="15.75" x14ac:dyDescent="0.25">
      <c r="B30" s="17"/>
      <c r="C30" s="52" t="s">
        <v>80</v>
      </c>
      <c r="E30" s="19"/>
      <c r="F30" s="19"/>
      <c r="G30" s="19"/>
      <c r="H30" s="20">
        <f t="shared" si="0"/>
        <v>0</v>
      </c>
      <c r="K30" s="21">
        <f>IF(H30=0, 0, _xlfn.IFNA(H30*LOOKUP(G30,Lookup!$B$3:$B$6,Lookup!$C$3:$C$6), 0))</f>
        <v>0</v>
      </c>
      <c r="M30" s="25"/>
    </row>
    <row r="31" spans="2:21" ht="15.6" x14ac:dyDescent="0.3">
      <c r="B31" s="17"/>
      <c r="C31" s="52" t="s">
        <v>79</v>
      </c>
      <c r="E31" s="19"/>
      <c r="F31" s="19"/>
      <c r="G31" s="19"/>
      <c r="H31" s="20">
        <f t="shared" si="0"/>
        <v>0</v>
      </c>
      <c r="K31" s="21">
        <f>IF(H31=0, 0, _xlfn.IFNA(H31*LOOKUP(G31,Lookup!$B$3:$B$6,Lookup!$C$3:$C$6), 0))</f>
        <v>0</v>
      </c>
      <c r="M31" s="25"/>
    </row>
    <row r="32" spans="2:21" ht="13.9" x14ac:dyDescent="0.25">
      <c r="B32" s="30"/>
    </row>
    <row r="33" spans="2:13" ht="16.899999999999999" x14ac:dyDescent="0.4">
      <c r="B33" s="31">
        <v>2</v>
      </c>
      <c r="C33" s="31" t="s">
        <v>14</v>
      </c>
      <c r="E33" s="4" t="s">
        <v>18</v>
      </c>
      <c r="F33" s="4" t="s">
        <v>28</v>
      </c>
      <c r="G33" s="4" t="s">
        <v>23</v>
      </c>
      <c r="H33" s="3" t="s">
        <v>19</v>
      </c>
      <c r="J33" s="16">
        <f>SUM(K34:K57)</f>
        <v>0</v>
      </c>
    </row>
    <row r="34" spans="2:13" ht="15.6" x14ac:dyDescent="0.3">
      <c r="B34" s="32" t="s">
        <v>41</v>
      </c>
      <c r="C34" s="33" t="s">
        <v>94</v>
      </c>
      <c r="E34" s="19"/>
      <c r="F34" s="19"/>
      <c r="G34" s="19"/>
      <c r="H34" s="20">
        <f t="shared" ref="H34:H57" si="2">E34*F34</f>
        <v>0</v>
      </c>
      <c r="K34" s="21">
        <f>IF(H34=0, 0, _xlfn.IFNA(H34*LOOKUP(G34,Lookup!$B$3:$B$6,Lookup!$C$3:$C$6), 0))</f>
        <v>0</v>
      </c>
    </row>
    <row r="35" spans="2:13" ht="15.6" x14ac:dyDescent="0.3">
      <c r="B35" s="32"/>
      <c r="C35" s="32" t="s">
        <v>95</v>
      </c>
      <c r="E35" s="19"/>
      <c r="F35" s="19"/>
      <c r="G35" s="19"/>
      <c r="H35" s="20">
        <f t="shared" si="2"/>
        <v>0</v>
      </c>
      <c r="K35" s="21">
        <f>IF(H35=0, 0, _xlfn.IFNA(H35*LOOKUP(G35,Lookup!$B$3:$B$6,Lookup!$C$3:$C$6), 0))</f>
        <v>0</v>
      </c>
    </row>
    <row r="36" spans="2:13" ht="15.6" x14ac:dyDescent="0.3">
      <c r="B36" s="32"/>
      <c r="C36" s="32" t="s">
        <v>84</v>
      </c>
      <c r="E36" s="19"/>
      <c r="F36" s="19"/>
      <c r="G36" s="19"/>
      <c r="H36" s="20">
        <f t="shared" si="2"/>
        <v>0</v>
      </c>
      <c r="K36" s="21">
        <f>IF(H36=0, 0, _xlfn.IFNA(H36*LOOKUP(G36,Lookup!$B$3:$B$6,Lookup!$C$3:$C$6), 0))</f>
        <v>0</v>
      </c>
    </row>
    <row r="37" spans="2:13" ht="15.6" x14ac:dyDescent="0.3">
      <c r="B37" s="32"/>
      <c r="C37" s="32" t="s">
        <v>92</v>
      </c>
      <c r="E37" s="19"/>
      <c r="F37" s="19"/>
      <c r="G37" s="19"/>
      <c r="H37" s="20">
        <f t="shared" si="2"/>
        <v>0</v>
      </c>
      <c r="K37" s="21">
        <f>IF(H37=0, 0, _xlfn.IFNA(H37*LOOKUP(G37,Lookup!$B$3:$B$6,Lookup!$C$3:$C$6), 0))</f>
        <v>0</v>
      </c>
    </row>
    <row r="38" spans="2:13" ht="15.6" x14ac:dyDescent="0.3">
      <c r="B38" s="32"/>
      <c r="C38" s="32" t="s">
        <v>100</v>
      </c>
      <c r="E38" s="19"/>
      <c r="F38" s="19"/>
      <c r="G38" s="19"/>
      <c r="H38" s="20">
        <f t="shared" si="2"/>
        <v>0</v>
      </c>
      <c r="K38" s="21">
        <f>IF(H38=0, 0, _xlfn.IFNA(H38*LOOKUP(G38,Lookup!$B$3:$B$6,Lookup!$C$3:$C$6), 0))</f>
        <v>0</v>
      </c>
    </row>
    <row r="39" spans="2:13" ht="15.6" x14ac:dyDescent="0.3">
      <c r="B39" s="32"/>
      <c r="C39" s="32" t="s">
        <v>91</v>
      </c>
      <c r="E39" s="19"/>
      <c r="F39" s="19"/>
      <c r="G39" s="19"/>
      <c r="H39" s="20">
        <f t="shared" si="2"/>
        <v>0</v>
      </c>
      <c r="K39" s="21">
        <f>IF(H39=0, 0, _xlfn.IFNA(H39*LOOKUP(G39,Lookup!$B$3:$B$6,Lookup!$C$3:$C$6), 0))</f>
        <v>0</v>
      </c>
    </row>
    <row r="40" spans="2:13" ht="15.6" x14ac:dyDescent="0.3">
      <c r="B40" s="32" t="s">
        <v>42</v>
      </c>
      <c r="C40" s="33" t="s">
        <v>1</v>
      </c>
      <c r="E40" s="19"/>
      <c r="F40" s="19"/>
      <c r="G40" s="19"/>
      <c r="H40" s="20">
        <f t="shared" si="2"/>
        <v>0</v>
      </c>
      <c r="K40" s="21">
        <f>IF(H40=0, 0, _xlfn.IFNA(H40*LOOKUP(G40,Lookup!$B$3:$B$6,Lookup!$C$3:$C$6), 0))</f>
        <v>0</v>
      </c>
      <c r="L40" s="21"/>
      <c r="M40" s="21"/>
    </row>
    <row r="41" spans="2:13" ht="15.6" x14ac:dyDescent="0.3">
      <c r="B41" s="32"/>
      <c r="C41" s="32" t="s">
        <v>81</v>
      </c>
      <c r="E41" s="19"/>
      <c r="F41" s="19"/>
      <c r="G41" s="19"/>
      <c r="H41" s="20">
        <f t="shared" si="2"/>
        <v>0</v>
      </c>
      <c r="K41" s="21">
        <f>IF(H41=0, 0, _xlfn.IFNA(H41*LOOKUP(G41,Lookup!$B$3:$B$6,Lookup!$C$3:$C$6), 0))</f>
        <v>0</v>
      </c>
      <c r="L41" s="21"/>
      <c r="M41" s="21"/>
    </row>
    <row r="42" spans="2:13" ht="15.6" x14ac:dyDescent="0.3">
      <c r="B42" s="32"/>
      <c r="C42" s="32" t="s">
        <v>87</v>
      </c>
      <c r="E42" s="19"/>
      <c r="F42" s="19"/>
      <c r="G42" s="19"/>
      <c r="H42" s="20">
        <f t="shared" si="2"/>
        <v>0</v>
      </c>
      <c r="K42" s="21">
        <f>IF(H42=0, 0, _xlfn.IFNA(H42*LOOKUP(G42,Lookup!$B$3:$B$6,Lookup!$C$3:$C$6), 0))</f>
        <v>0</v>
      </c>
      <c r="L42" s="21"/>
      <c r="M42" s="21"/>
    </row>
    <row r="43" spans="2:13" ht="15.6" x14ac:dyDescent="0.3">
      <c r="B43" s="32"/>
      <c r="C43" s="32" t="s">
        <v>82</v>
      </c>
      <c r="E43" s="19"/>
      <c r="F43" s="19"/>
      <c r="G43" s="19"/>
      <c r="H43" s="20">
        <f t="shared" si="2"/>
        <v>0</v>
      </c>
      <c r="K43" s="21">
        <f>IF(H43=0, 0, _xlfn.IFNA(H43*LOOKUP(G43,Lookup!$B$3:$B$6,Lookup!$C$3:$C$6), 0))</f>
        <v>0</v>
      </c>
      <c r="L43" s="21"/>
      <c r="M43" s="21"/>
    </row>
    <row r="44" spans="2:13" ht="15.6" x14ac:dyDescent="0.3">
      <c r="B44" s="32"/>
      <c r="C44" s="32" t="s">
        <v>83</v>
      </c>
      <c r="E44" s="19"/>
      <c r="F44" s="19"/>
      <c r="G44" s="19"/>
      <c r="H44" s="20">
        <f t="shared" si="2"/>
        <v>0</v>
      </c>
      <c r="K44" s="21">
        <f>IF(H44=0, 0, _xlfn.IFNA(H44*LOOKUP(G44,Lookup!$B$3:$B$6,Lookup!$C$3:$C$6), 0))</f>
        <v>0</v>
      </c>
      <c r="L44" s="21"/>
      <c r="M44" s="21"/>
    </row>
    <row r="45" spans="2:13" ht="15.75" x14ac:dyDescent="0.25">
      <c r="B45" s="32"/>
      <c r="C45" s="32" t="s">
        <v>98</v>
      </c>
      <c r="E45" s="19"/>
      <c r="F45" s="19"/>
      <c r="G45" s="19"/>
      <c r="H45" s="20">
        <f t="shared" si="2"/>
        <v>0</v>
      </c>
      <c r="K45" s="21">
        <f>IF(H45=0, 0, _xlfn.IFNA(H45*LOOKUP(G45,Lookup!$B$3:$B$6,Lookup!$C$3:$C$6), 0))</f>
        <v>0</v>
      </c>
      <c r="L45" s="21"/>
      <c r="M45" s="21"/>
    </row>
    <row r="46" spans="2:13" ht="15.6" x14ac:dyDescent="0.3">
      <c r="B46" s="32" t="s">
        <v>43</v>
      </c>
      <c r="C46" s="33" t="s">
        <v>27</v>
      </c>
      <c r="E46" s="19"/>
      <c r="F46" s="19"/>
      <c r="G46" s="19"/>
      <c r="H46" s="20">
        <f t="shared" si="2"/>
        <v>0</v>
      </c>
      <c r="K46" s="21">
        <f>IF(H46=0, 0, _xlfn.IFNA(H46*LOOKUP(G46,Lookup!$B$3:$B$6,Lookup!$C$3:$C$6), 0))</f>
        <v>0</v>
      </c>
      <c r="M46" s="21"/>
    </row>
    <row r="47" spans="2:13" ht="15.6" x14ac:dyDescent="0.3">
      <c r="B47" s="32"/>
      <c r="C47" s="32" t="s">
        <v>88</v>
      </c>
      <c r="E47" s="19"/>
      <c r="F47" s="19"/>
      <c r="G47" s="19"/>
      <c r="H47" s="20">
        <f t="shared" si="2"/>
        <v>0</v>
      </c>
      <c r="K47" s="21">
        <f>IF(H47=0, 0, _xlfn.IFNA(H47*LOOKUP(G47,Lookup!$B$3:$B$6,Lookup!$C$3:$C$6), 0))</f>
        <v>0</v>
      </c>
      <c r="M47" s="21"/>
    </row>
    <row r="48" spans="2:13" ht="15.75" x14ac:dyDescent="0.25">
      <c r="B48" s="32"/>
      <c r="C48" s="32" t="s">
        <v>93</v>
      </c>
      <c r="E48" s="19"/>
      <c r="F48" s="19"/>
      <c r="G48" s="19"/>
      <c r="H48" s="20">
        <f t="shared" si="2"/>
        <v>0</v>
      </c>
      <c r="K48" s="21">
        <f>IF(H48=0, 0, _xlfn.IFNA(H48*LOOKUP(G48,Lookup!$B$3:$B$6,Lookup!$C$3:$C$6), 0))</f>
        <v>0</v>
      </c>
      <c r="M48" s="21"/>
    </row>
    <row r="49" spans="2:20" ht="15.75" x14ac:dyDescent="0.25">
      <c r="B49" s="32"/>
      <c r="C49" s="32" t="s">
        <v>90</v>
      </c>
      <c r="E49" s="19"/>
      <c r="F49" s="19"/>
      <c r="G49" s="19"/>
      <c r="H49" s="20">
        <f t="shared" si="2"/>
        <v>0</v>
      </c>
      <c r="K49" s="21">
        <f>IF(H49=0, 0, _xlfn.IFNA(H49*LOOKUP(G49,Lookup!$B$3:$B$6,Lookup!$C$3:$C$6), 0))</f>
        <v>0</v>
      </c>
      <c r="M49" s="21"/>
    </row>
    <row r="50" spans="2:20" ht="15.75" x14ac:dyDescent="0.25">
      <c r="B50" s="32"/>
      <c r="C50" s="32" t="s">
        <v>89</v>
      </c>
      <c r="E50" s="19"/>
      <c r="F50" s="19"/>
      <c r="G50" s="19"/>
      <c r="H50" s="20">
        <f t="shared" si="2"/>
        <v>0</v>
      </c>
      <c r="K50" s="21">
        <f>IF(H50=0, 0, _xlfn.IFNA(H50*LOOKUP(G50,Lookup!$B$3:$B$6,Lookup!$C$3:$C$6), 0))</f>
        <v>0</v>
      </c>
      <c r="M50" s="21"/>
    </row>
    <row r="51" spans="2:20" s="28" customFormat="1" ht="15.75" x14ac:dyDescent="0.25">
      <c r="B51" s="33" t="s">
        <v>67</v>
      </c>
      <c r="C51" s="33" t="s">
        <v>96</v>
      </c>
      <c r="E51" s="34"/>
      <c r="F51" s="34"/>
      <c r="G51" s="34"/>
      <c r="H51" s="20">
        <f t="shared" si="2"/>
        <v>0</v>
      </c>
      <c r="K51" s="21">
        <f>IF(H51=0, 0, _xlfn.IFNA(H51*LOOKUP(G51,Lookup!$B$3:$B$6,Lookup!$C$3:$C$6), 0))</f>
        <v>0</v>
      </c>
      <c r="M51" s="35"/>
      <c r="N51" s="1"/>
      <c r="O51" s="1"/>
      <c r="P51" s="1"/>
      <c r="Q51" s="1"/>
      <c r="R51" s="1"/>
      <c r="S51" s="1"/>
      <c r="T51" s="1"/>
    </row>
    <row r="52" spans="2:20" ht="15.75" x14ac:dyDescent="0.25">
      <c r="B52" s="32"/>
      <c r="C52" s="32" t="s">
        <v>101</v>
      </c>
      <c r="E52" s="19"/>
      <c r="F52" s="19"/>
      <c r="G52" s="19"/>
      <c r="H52" s="20">
        <f t="shared" si="2"/>
        <v>0</v>
      </c>
      <c r="K52" s="21">
        <f>IF(H52=0, 0, _xlfn.IFNA(H52*LOOKUP(G52,Lookup!$B$3:$B$6,Lookup!$C$3:$C$6), 0))</f>
        <v>0</v>
      </c>
      <c r="M52" s="21"/>
    </row>
    <row r="53" spans="2:20" ht="15.75" x14ac:dyDescent="0.25">
      <c r="B53" s="32"/>
      <c r="C53" s="32" t="s">
        <v>103</v>
      </c>
      <c r="E53" s="19"/>
      <c r="F53" s="19"/>
      <c r="G53" s="19"/>
      <c r="H53" s="20">
        <f t="shared" si="2"/>
        <v>0</v>
      </c>
      <c r="K53" s="21">
        <f>IF(H53=0, 0, _xlfn.IFNA(H53*LOOKUP(G53,Lookup!$B$3:$B$6,Lookup!$C$3:$C$6), 0))</f>
        <v>0</v>
      </c>
      <c r="M53" s="21"/>
    </row>
    <row r="54" spans="2:20" ht="15.75" x14ac:dyDescent="0.25">
      <c r="B54" s="32"/>
      <c r="C54" s="32" t="s">
        <v>102</v>
      </c>
      <c r="E54" s="19"/>
      <c r="F54" s="19"/>
      <c r="G54" s="19"/>
      <c r="H54" s="20">
        <f t="shared" si="2"/>
        <v>0</v>
      </c>
      <c r="K54" s="21">
        <f>IF(H54=0, 0, _xlfn.IFNA(H54*LOOKUP(G54,Lookup!$B$3:$B$6,Lookup!$C$3:$C$6), 0))</f>
        <v>0</v>
      </c>
      <c r="M54" s="21"/>
    </row>
    <row r="55" spans="2:20" ht="15.75" x14ac:dyDescent="0.25">
      <c r="B55" s="33" t="s">
        <v>77</v>
      </c>
      <c r="C55" s="33" t="s">
        <v>97</v>
      </c>
      <c r="E55" s="19"/>
      <c r="F55" s="19"/>
      <c r="G55" s="19"/>
      <c r="H55" s="20">
        <f t="shared" si="2"/>
        <v>0</v>
      </c>
      <c r="K55" s="21">
        <f>IF(H55=0, 0, _xlfn.IFNA(H55*LOOKUP(G55,Lookup!$B$3:$B$6,Lookup!$C$3:$C$6), 0))</f>
        <v>0</v>
      </c>
      <c r="M55" s="21"/>
    </row>
    <row r="56" spans="2:20" ht="15.75" x14ac:dyDescent="0.25">
      <c r="B56" s="32"/>
      <c r="C56" s="32" t="s">
        <v>99</v>
      </c>
      <c r="E56" s="19"/>
      <c r="F56" s="19"/>
      <c r="G56" s="19"/>
      <c r="H56" s="20">
        <f t="shared" si="2"/>
        <v>0</v>
      </c>
      <c r="K56" s="21">
        <f>IF(H56=0, 0, _xlfn.IFNA(H56*LOOKUP(G56,Lookup!$B$3:$B$6,Lookup!$C$3:$C$6), 0))</f>
        <v>0</v>
      </c>
      <c r="M56" s="21"/>
    </row>
    <row r="57" spans="2:20" ht="15.75" x14ac:dyDescent="0.25">
      <c r="B57" s="32"/>
      <c r="C57" s="32" t="s">
        <v>104</v>
      </c>
      <c r="E57" s="19"/>
      <c r="F57" s="19"/>
      <c r="G57" s="19"/>
      <c r="H57" s="20">
        <f t="shared" si="2"/>
        <v>0</v>
      </c>
      <c r="K57" s="21">
        <f>IF(H57=0, 0, _xlfn.IFNA(H57*LOOKUP(G57,Lookup!$B$3:$B$6,Lookup!$C$3:$C$6), 0))</f>
        <v>0</v>
      </c>
      <c r="M57" s="21"/>
    </row>
    <row r="58" spans="2:20" x14ac:dyDescent="0.25">
      <c r="B58" s="30"/>
      <c r="C58" s="28"/>
      <c r="M58" s="21"/>
    </row>
    <row r="59" spans="2:20" ht="18" x14ac:dyDescent="0.4">
      <c r="B59" s="36">
        <v>3</v>
      </c>
      <c r="C59" s="36" t="s">
        <v>15</v>
      </c>
      <c r="E59" s="4" t="s">
        <v>18</v>
      </c>
      <c r="F59" s="4" t="s">
        <v>28</v>
      </c>
      <c r="G59" s="4" t="s">
        <v>23</v>
      </c>
      <c r="H59" s="3" t="s">
        <v>19</v>
      </c>
      <c r="J59" s="16">
        <f>SUM(K60:K72)</f>
        <v>0</v>
      </c>
      <c r="M59" s="21"/>
    </row>
    <row r="60" spans="2:20" ht="15.75" x14ac:dyDescent="0.25">
      <c r="B60" s="37" t="s">
        <v>0</v>
      </c>
      <c r="C60" s="38" t="s">
        <v>58</v>
      </c>
      <c r="E60" s="19"/>
      <c r="F60" s="19"/>
      <c r="G60" s="19"/>
      <c r="H60" s="20">
        <f t="shared" ref="H60:H72" si="3">E60*F60</f>
        <v>0</v>
      </c>
      <c r="K60" s="21">
        <f>IF(H60=0, 0, _xlfn.IFNA(H60*LOOKUP(G60,Lookup!$B$3:$B$6,Lookup!$C$3:$C$6), 0))</f>
        <v>0</v>
      </c>
      <c r="M60" s="25"/>
    </row>
    <row r="61" spans="2:20" ht="15.75" x14ac:dyDescent="0.25">
      <c r="B61" s="37"/>
      <c r="C61" s="37" t="s">
        <v>105</v>
      </c>
      <c r="E61" s="19"/>
      <c r="F61" s="19"/>
      <c r="G61" s="19"/>
      <c r="H61" s="20">
        <f t="shared" si="3"/>
        <v>0</v>
      </c>
      <c r="K61" s="21">
        <f>IF(H61=0, 0, _xlfn.IFNA(H61*LOOKUP(G61,Lookup!$B$3:$B$6,Lookup!$C$3:$C$6), 0))</f>
        <v>0</v>
      </c>
      <c r="M61" s="25"/>
    </row>
    <row r="62" spans="2:20" ht="15.75" x14ac:dyDescent="0.25">
      <c r="B62" s="37"/>
      <c r="C62" s="37" t="s">
        <v>148</v>
      </c>
      <c r="E62" s="19"/>
      <c r="F62" s="19"/>
      <c r="G62" s="19"/>
      <c r="H62" s="20">
        <f t="shared" si="3"/>
        <v>0</v>
      </c>
      <c r="K62" s="21">
        <f>IF(H62=0, 0, _xlfn.IFNA(H62*LOOKUP(G62,Lookup!$B$3:$B$6,Lookup!$C$3:$C$6), 0))</f>
        <v>0</v>
      </c>
    </row>
    <row r="63" spans="2:20" ht="15.75" x14ac:dyDescent="0.25">
      <c r="B63" s="37" t="s">
        <v>2</v>
      </c>
      <c r="C63" s="38" t="s">
        <v>25</v>
      </c>
      <c r="E63" s="19"/>
      <c r="F63" s="19"/>
      <c r="G63" s="19"/>
      <c r="H63" s="20">
        <f t="shared" si="3"/>
        <v>0</v>
      </c>
      <c r="K63" s="21">
        <f>IF(H63=0, 0, _xlfn.IFNA(H63*LOOKUP(G63,Lookup!$B$3:$B$6,Lookup!$C$3:$C$6), 0))</f>
        <v>0</v>
      </c>
      <c r="L63" s="21"/>
      <c r="M63" s="21"/>
    </row>
    <row r="64" spans="2:20" ht="15.75" x14ac:dyDescent="0.25">
      <c r="B64" s="37"/>
      <c r="C64" s="37" t="s">
        <v>106</v>
      </c>
      <c r="E64" s="19"/>
      <c r="F64" s="19"/>
      <c r="G64" s="19"/>
      <c r="H64" s="20">
        <f t="shared" si="3"/>
        <v>0</v>
      </c>
      <c r="K64" s="21">
        <f>IF(H64=0, 0, _xlfn.IFNA(H64*LOOKUP(G64,Lookup!$B$3:$B$6,Lookup!$C$3:$C$6), 0))</f>
        <v>0</v>
      </c>
      <c r="L64" s="21"/>
      <c r="M64" s="21"/>
    </row>
    <row r="65" spans="2:13" ht="15.75" x14ac:dyDescent="0.25">
      <c r="B65" s="37"/>
      <c r="C65" s="37" t="s">
        <v>107</v>
      </c>
      <c r="E65" s="19"/>
      <c r="F65" s="19"/>
      <c r="G65" s="19"/>
      <c r="H65" s="20">
        <f t="shared" si="3"/>
        <v>0</v>
      </c>
      <c r="K65" s="21">
        <f>IF(H65=0, 0, _xlfn.IFNA(H65*LOOKUP(G65,Lookup!$B$3:$B$6,Lookup!$C$3:$C$6), 0))</f>
        <v>0</v>
      </c>
      <c r="L65" s="21"/>
      <c r="M65" s="21"/>
    </row>
    <row r="66" spans="2:13" ht="15.75" x14ac:dyDescent="0.25">
      <c r="B66" s="37" t="s">
        <v>44</v>
      </c>
      <c r="C66" s="38" t="s">
        <v>61</v>
      </c>
      <c r="E66" s="19"/>
      <c r="F66" s="19"/>
      <c r="G66" s="19"/>
      <c r="H66" s="20">
        <f t="shared" si="3"/>
        <v>0</v>
      </c>
      <c r="K66" s="21">
        <f>IF(H66=0, 0, _xlfn.IFNA(H66*LOOKUP(G66,Lookup!$B$3:$B$6,Lookup!$C$3:$C$6), 0))</f>
        <v>0</v>
      </c>
      <c r="L66" s="21"/>
      <c r="M66" s="21"/>
    </row>
    <row r="67" spans="2:13" ht="15.75" x14ac:dyDescent="0.25">
      <c r="B67" s="37"/>
      <c r="C67" s="37" t="s">
        <v>108</v>
      </c>
      <c r="E67" s="19"/>
      <c r="F67" s="19"/>
      <c r="G67" s="19"/>
      <c r="H67" s="20">
        <f t="shared" si="3"/>
        <v>0</v>
      </c>
      <c r="K67" s="21">
        <f>IF(H67=0, 0, _xlfn.IFNA(H67*LOOKUP(G67,Lookup!$B$3:$B$6,Lookup!$C$3:$C$6), 0))</f>
        <v>0</v>
      </c>
      <c r="L67" s="21"/>
      <c r="M67" s="21"/>
    </row>
    <row r="68" spans="2:13" ht="15.75" x14ac:dyDescent="0.25">
      <c r="B68" s="37"/>
      <c r="C68" s="37" t="s">
        <v>109</v>
      </c>
      <c r="E68" s="39"/>
      <c r="F68" s="39"/>
      <c r="G68" s="39"/>
      <c r="H68" s="20">
        <f t="shared" si="3"/>
        <v>0</v>
      </c>
      <c r="K68" s="21">
        <f>IF(H68=0, 0, _xlfn.IFNA(H68*LOOKUP(G68,Lookup!$B$3:$B$6,Lookup!$C$3:$C$6), 0))</f>
        <v>0</v>
      </c>
      <c r="L68" s="21"/>
      <c r="M68" s="21"/>
    </row>
    <row r="69" spans="2:13" ht="15.75" x14ac:dyDescent="0.25">
      <c r="B69" s="37" t="s">
        <v>45</v>
      </c>
      <c r="C69" s="38" t="s">
        <v>26</v>
      </c>
      <c r="E69" s="19"/>
      <c r="F69" s="19"/>
      <c r="G69" s="19"/>
      <c r="H69" s="20">
        <f t="shared" si="3"/>
        <v>0</v>
      </c>
      <c r="K69" s="21">
        <f>IF(H69=0, 0, _xlfn.IFNA(H69*LOOKUP(G69,Lookup!$B$3:$B$6,Lookup!$C$3:$C$6), 0))</f>
        <v>0</v>
      </c>
      <c r="M69" s="25"/>
    </row>
    <row r="70" spans="2:13" ht="15.75" x14ac:dyDescent="0.25">
      <c r="B70" s="37"/>
      <c r="C70" s="37" t="s">
        <v>110</v>
      </c>
      <c r="E70" s="40"/>
      <c r="F70" s="40"/>
      <c r="G70" s="40"/>
      <c r="H70" s="20">
        <f t="shared" si="3"/>
        <v>0</v>
      </c>
      <c r="K70" s="21">
        <f>IF(H70=0, 0, _xlfn.IFNA(H70*LOOKUP(G70,Lookup!$B$3:$B$6,Lookup!$C$3:$C$6), 0))</f>
        <v>0</v>
      </c>
      <c r="M70" s="25"/>
    </row>
    <row r="71" spans="2:13" ht="15.75" x14ac:dyDescent="0.25">
      <c r="B71" s="37"/>
      <c r="C71" s="37" t="s">
        <v>112</v>
      </c>
      <c r="E71" s="19"/>
      <c r="F71" s="19"/>
      <c r="G71" s="19"/>
      <c r="H71" s="20">
        <f t="shared" si="3"/>
        <v>0</v>
      </c>
      <c r="K71" s="21">
        <f>IF(H71=0, 0, _xlfn.IFNA(H71*LOOKUP(G71,Lookup!$B$3:$B$6,Lookup!$C$3:$C$6), 0))</f>
        <v>0</v>
      </c>
      <c r="M71" s="25"/>
    </row>
    <row r="72" spans="2:13" ht="15.75" x14ac:dyDescent="0.25">
      <c r="B72" s="37"/>
      <c r="C72" s="37" t="s">
        <v>111</v>
      </c>
      <c r="E72" s="19"/>
      <c r="F72" s="19"/>
      <c r="G72" s="19"/>
      <c r="H72" s="20">
        <f t="shared" si="3"/>
        <v>0</v>
      </c>
      <c r="K72" s="21">
        <f>IF(H72=0, 0, _xlfn.IFNA(H72*LOOKUP(G72,Lookup!$B$3:$B$6,Lookup!$C$3:$C$6), 0))</f>
        <v>0</v>
      </c>
      <c r="M72" s="21"/>
    </row>
    <row r="73" spans="2:13" x14ac:dyDescent="0.25">
      <c r="K73" s="21"/>
    </row>
    <row r="74" spans="2:13" ht="18" x14ac:dyDescent="0.4">
      <c r="B74" s="41">
        <v>4</v>
      </c>
      <c r="C74" s="41" t="s">
        <v>16</v>
      </c>
      <c r="E74" s="4" t="s">
        <v>18</v>
      </c>
      <c r="F74" s="4" t="s">
        <v>28</v>
      </c>
      <c r="G74" s="4" t="s">
        <v>23</v>
      </c>
      <c r="H74" s="3" t="s">
        <v>19</v>
      </c>
      <c r="J74" s="16">
        <f>SUM(K75:K86)</f>
        <v>0</v>
      </c>
      <c r="M74" s="42"/>
    </row>
    <row r="75" spans="2:13" ht="15.75" x14ac:dyDescent="0.25">
      <c r="B75" s="43" t="s">
        <v>3</v>
      </c>
      <c r="C75" s="44" t="s">
        <v>8</v>
      </c>
      <c r="E75" s="19"/>
      <c r="F75" s="19"/>
      <c r="G75" s="19"/>
      <c r="H75" s="20">
        <f t="shared" ref="H75:H98" si="4">E75*F75</f>
        <v>0</v>
      </c>
      <c r="K75" s="21">
        <f>IF(H75=0, 0, _xlfn.IFNA(H75*LOOKUP(G75,Lookup!$B$3:$B$6,Lookup!$C$3:$C$6), 0))</f>
        <v>0</v>
      </c>
      <c r="L75" s="21"/>
    </row>
    <row r="76" spans="2:13" ht="15.75" x14ac:dyDescent="0.25">
      <c r="B76" s="43"/>
      <c r="C76" s="43" t="s">
        <v>114</v>
      </c>
      <c r="E76" s="19"/>
      <c r="F76" s="19"/>
      <c r="G76" s="19"/>
      <c r="H76" s="20">
        <f t="shared" si="4"/>
        <v>0</v>
      </c>
      <c r="K76" s="21">
        <f>IF(H76=0, 0, _xlfn.IFNA(H76*LOOKUP(G76,Lookup!$B$3:$B$6,Lookup!$C$3:$C$6), 0))</f>
        <v>0</v>
      </c>
      <c r="L76" s="21"/>
    </row>
    <row r="77" spans="2:13" ht="15.75" x14ac:dyDescent="0.25">
      <c r="B77" s="43"/>
      <c r="C77" s="43" t="s">
        <v>115</v>
      </c>
      <c r="E77" s="19"/>
      <c r="F77" s="19"/>
      <c r="G77" s="19"/>
      <c r="H77" s="20">
        <f t="shared" si="4"/>
        <v>0</v>
      </c>
      <c r="K77" s="21">
        <f>IF(H77=0, 0, _xlfn.IFNA(H77*LOOKUP(G77,Lookup!$B$3:$B$6,Lookup!$C$3:$C$6), 0))</f>
        <v>0</v>
      </c>
      <c r="L77" s="21"/>
    </row>
    <row r="78" spans="2:13" ht="15.75" x14ac:dyDescent="0.25">
      <c r="B78" s="43" t="s">
        <v>4</v>
      </c>
      <c r="C78" s="44" t="s">
        <v>24</v>
      </c>
      <c r="E78" s="19"/>
      <c r="F78" s="19"/>
      <c r="G78" s="19"/>
      <c r="H78" s="20">
        <f t="shared" si="4"/>
        <v>0</v>
      </c>
      <c r="K78" s="21">
        <f>IF(H78=0, 0, _xlfn.IFNA(H78*LOOKUP(G78,Lookup!$B$3:$B$6,Lookup!$C$3:$C$6), 0))</f>
        <v>0</v>
      </c>
      <c r="L78" s="21"/>
      <c r="M78" s="21"/>
    </row>
    <row r="79" spans="2:13" ht="15.75" x14ac:dyDescent="0.25">
      <c r="B79" s="43"/>
      <c r="C79" s="43" t="s">
        <v>118</v>
      </c>
      <c r="E79" s="19"/>
      <c r="F79" s="19"/>
      <c r="G79" s="19"/>
      <c r="H79" s="20">
        <f t="shared" si="4"/>
        <v>0</v>
      </c>
      <c r="K79" s="21">
        <f>IF(H79=0, 0, _xlfn.IFNA(H79*LOOKUP(G79,Lookup!$B$3:$B$6,Lookup!$C$3:$C$6), 0))</f>
        <v>0</v>
      </c>
      <c r="L79" s="21"/>
      <c r="M79" s="21"/>
    </row>
    <row r="80" spans="2:13" ht="15.75" x14ac:dyDescent="0.25">
      <c r="B80" s="43"/>
      <c r="C80" s="43" t="s">
        <v>119</v>
      </c>
      <c r="E80" s="19"/>
      <c r="F80" s="19"/>
      <c r="G80" s="19"/>
      <c r="H80" s="20">
        <f t="shared" si="4"/>
        <v>0</v>
      </c>
      <c r="K80" s="21">
        <f>IF(H80=0, 0, _xlfn.IFNA(H80*LOOKUP(G80,Lookup!$B$3:$B$6,Lookup!$C$3:$C$6), 0))</f>
        <v>0</v>
      </c>
      <c r="L80" s="21"/>
      <c r="M80" s="21"/>
    </row>
    <row r="81" spans="2:13" ht="15.75" x14ac:dyDescent="0.25">
      <c r="B81" s="43"/>
      <c r="C81" s="43" t="s">
        <v>16</v>
      </c>
      <c r="E81" s="19"/>
      <c r="F81" s="19"/>
      <c r="G81" s="19"/>
      <c r="H81" s="20">
        <f t="shared" si="4"/>
        <v>0</v>
      </c>
      <c r="K81" s="21">
        <f>IF(H81=0, 0, _xlfn.IFNA(H81*LOOKUP(G81,Lookup!$B$3:$B$6,Lookup!$C$3:$C$6), 0))</f>
        <v>0</v>
      </c>
      <c r="L81" s="21"/>
      <c r="M81" s="45"/>
    </row>
    <row r="82" spans="2:13" ht="15.75" x14ac:dyDescent="0.25">
      <c r="B82" s="43" t="s">
        <v>5</v>
      </c>
      <c r="C82" s="44" t="s">
        <v>113</v>
      </c>
      <c r="E82" s="19"/>
      <c r="F82" s="19"/>
      <c r="G82" s="19"/>
      <c r="H82" s="20">
        <f t="shared" si="4"/>
        <v>0</v>
      </c>
      <c r="K82" s="21">
        <f>IF(H82=0, 0, _xlfn.IFNA(H82*LOOKUP(G82,Lookup!$B$3:$B$6,Lookup!$C$3:$C$6), 0))</f>
        <v>0</v>
      </c>
      <c r="L82" s="21"/>
      <c r="M82" s="45"/>
    </row>
    <row r="83" spans="2:13" ht="15.75" x14ac:dyDescent="0.25">
      <c r="B83" s="43"/>
      <c r="C83" s="43" t="s">
        <v>120</v>
      </c>
      <c r="E83" s="19"/>
      <c r="F83" s="19"/>
      <c r="G83" s="19"/>
      <c r="H83" s="20">
        <f t="shared" si="4"/>
        <v>0</v>
      </c>
      <c r="K83" s="21">
        <f>IF(H83=0, 0, _xlfn.IFNA(H83*LOOKUP(G83,Lookup!$B$3:$B$6,Lookup!$C$3:$C$6), 0))</f>
        <v>0</v>
      </c>
      <c r="L83" s="21"/>
      <c r="M83" s="45"/>
    </row>
    <row r="84" spans="2:13" ht="15.75" x14ac:dyDescent="0.25">
      <c r="B84" s="43" t="s">
        <v>6</v>
      </c>
      <c r="C84" s="44" t="s">
        <v>60</v>
      </c>
      <c r="E84" s="19"/>
      <c r="F84" s="19"/>
      <c r="G84" s="19"/>
      <c r="H84" s="20">
        <f t="shared" si="4"/>
        <v>0</v>
      </c>
      <c r="K84" s="21">
        <f>IF(H84=0, 0, _xlfn.IFNA(H84*LOOKUP(G84,Lookup!$B$3:$B$6,Lookup!$C$3:$C$6), 0))</f>
        <v>0</v>
      </c>
      <c r="L84" s="21"/>
      <c r="M84" s="45"/>
    </row>
    <row r="85" spans="2:13" ht="15.75" x14ac:dyDescent="0.25">
      <c r="B85" s="43"/>
      <c r="C85" s="43" t="s">
        <v>116</v>
      </c>
      <c r="E85" s="19"/>
      <c r="F85" s="19"/>
      <c r="G85" s="19"/>
      <c r="H85" s="20">
        <f t="shared" si="4"/>
        <v>0</v>
      </c>
      <c r="K85" s="21">
        <f>IF(H85=0, 0, _xlfn.IFNA(H85*LOOKUP(G85,Lookup!$B$3:$B$6,Lookup!$C$3:$C$6), 0))</f>
        <v>0</v>
      </c>
      <c r="L85" s="21"/>
      <c r="M85" s="45"/>
    </row>
    <row r="86" spans="2:13" ht="15.75" x14ac:dyDescent="0.25">
      <c r="B86" s="43"/>
      <c r="C86" s="43" t="s">
        <v>117</v>
      </c>
      <c r="E86" s="19"/>
      <c r="F86" s="19"/>
      <c r="G86" s="19"/>
      <c r="H86" s="20">
        <f t="shared" si="4"/>
        <v>0</v>
      </c>
      <c r="K86" s="21">
        <f>IF(H86=0, 0, _xlfn.IFNA(H86*LOOKUP(G86,Lookup!$B$3:$B$6,Lookup!$C$3:$C$6), 0))</f>
        <v>0</v>
      </c>
      <c r="L86" s="21"/>
      <c r="M86" s="21"/>
    </row>
    <row r="87" spans="2:13" x14ac:dyDescent="0.25">
      <c r="B87" s="30"/>
      <c r="L87" s="21"/>
      <c r="M87" s="21"/>
    </row>
    <row r="88" spans="2:13" ht="18" x14ac:dyDescent="0.4">
      <c r="B88" s="46">
        <v>5</v>
      </c>
      <c r="C88" s="46" t="s">
        <v>17</v>
      </c>
      <c r="E88" s="4" t="s">
        <v>18</v>
      </c>
      <c r="F88" s="4" t="s">
        <v>28</v>
      </c>
      <c r="G88" s="4" t="s">
        <v>23</v>
      </c>
      <c r="H88" s="3" t="s">
        <v>19</v>
      </c>
      <c r="J88" s="16">
        <f>SUM(K89:K98)</f>
        <v>0</v>
      </c>
      <c r="M88" s="21"/>
    </row>
    <row r="89" spans="2:13" ht="15.75" x14ac:dyDescent="0.25">
      <c r="B89" s="47" t="s">
        <v>7</v>
      </c>
      <c r="C89" s="48" t="s">
        <v>11</v>
      </c>
      <c r="E89" s="19"/>
      <c r="F89" s="19"/>
      <c r="G89" s="19"/>
      <c r="H89" s="20">
        <f t="shared" si="4"/>
        <v>0</v>
      </c>
      <c r="K89" s="21">
        <f>IF(H89=0, 0, _xlfn.IFNA(H89*LOOKUP(G89,Lookup!$B$3:$B$6,Lookup!$C$3:$C$6), 0))</f>
        <v>0</v>
      </c>
      <c r="L89" s="21"/>
    </row>
    <row r="90" spans="2:13" ht="15.75" x14ac:dyDescent="0.25">
      <c r="B90" s="47"/>
      <c r="C90" s="47" t="s">
        <v>126</v>
      </c>
      <c r="E90" s="19"/>
      <c r="F90" s="19"/>
      <c r="G90" s="19"/>
      <c r="H90" s="20">
        <f t="shared" si="4"/>
        <v>0</v>
      </c>
      <c r="K90" s="21">
        <f>IF(H90=0, 0, _xlfn.IFNA(H90*LOOKUP(G90,Lookup!$B$3:$B$6,Lookup!$C$3:$C$6), 0))</f>
        <v>0</v>
      </c>
      <c r="L90" s="21"/>
    </row>
    <row r="91" spans="2:13" ht="15.75" x14ac:dyDescent="0.25">
      <c r="B91" s="47"/>
      <c r="C91" s="47" t="s">
        <v>128</v>
      </c>
      <c r="E91" s="19"/>
      <c r="F91" s="19"/>
      <c r="G91" s="19"/>
      <c r="H91" s="20">
        <f t="shared" si="4"/>
        <v>0</v>
      </c>
      <c r="K91" s="21">
        <f>IF(H91=0, 0, _xlfn.IFNA(H91*LOOKUP(G91,Lookup!$B$3:$B$6,Lookup!$C$3:$C$6), 0))</f>
        <v>0</v>
      </c>
      <c r="L91" s="21"/>
    </row>
    <row r="92" spans="2:13" ht="15.75" x14ac:dyDescent="0.25">
      <c r="B92" s="47"/>
      <c r="C92" s="47" t="s">
        <v>127</v>
      </c>
      <c r="E92" s="19"/>
      <c r="F92" s="19"/>
      <c r="G92" s="19"/>
      <c r="H92" s="20">
        <f t="shared" si="4"/>
        <v>0</v>
      </c>
      <c r="K92" s="21">
        <f>IF(H92=0, 0, _xlfn.IFNA(H92*LOOKUP(G92,Lookup!$B$3:$B$6,Lookup!$C$3:$C$6), 0))</f>
        <v>0</v>
      </c>
      <c r="L92" s="21"/>
    </row>
    <row r="93" spans="2:13" ht="15.75" x14ac:dyDescent="0.25">
      <c r="B93" s="47" t="s">
        <v>9</v>
      </c>
      <c r="C93" s="48" t="s">
        <v>10</v>
      </c>
      <c r="E93" s="19"/>
      <c r="F93" s="19"/>
      <c r="G93" s="19"/>
      <c r="H93" s="20">
        <f t="shared" si="4"/>
        <v>0</v>
      </c>
      <c r="K93" s="21">
        <f>IF(H93=0, 0, _xlfn.IFNA(H93*LOOKUP(G93,Lookup!$B$3:$B$6,Lookup!$C$3:$C$6), 0))</f>
        <v>0</v>
      </c>
      <c r="L93" s="21"/>
    </row>
    <row r="94" spans="2:13" ht="15.75" x14ac:dyDescent="0.25">
      <c r="B94" s="47"/>
      <c r="C94" s="47" t="s">
        <v>129</v>
      </c>
      <c r="E94" s="19"/>
      <c r="F94" s="19"/>
      <c r="G94" s="19"/>
      <c r="H94" s="20">
        <f t="shared" si="4"/>
        <v>0</v>
      </c>
      <c r="K94" s="21">
        <f>IF(H94=0, 0, _xlfn.IFNA(H94*LOOKUP(G94,Lookup!$B$3:$B$6,Lookup!$C$3:$C$6), 0))</f>
        <v>0</v>
      </c>
      <c r="L94" s="21"/>
    </row>
    <row r="95" spans="2:13" ht="15.75" x14ac:dyDescent="0.25">
      <c r="B95" s="47"/>
      <c r="C95" s="47" t="s">
        <v>130</v>
      </c>
      <c r="E95" s="19"/>
      <c r="F95" s="19"/>
      <c r="G95" s="19"/>
      <c r="H95" s="20">
        <f t="shared" si="4"/>
        <v>0</v>
      </c>
      <c r="K95" s="21">
        <f>IF(H95=0, 0, _xlfn.IFNA(H95*LOOKUP(G95,Lookup!$B$3:$B$6,Lookup!$C$3:$C$6), 0))</f>
        <v>0</v>
      </c>
      <c r="L95" s="21"/>
    </row>
    <row r="96" spans="2:13" ht="15.75" x14ac:dyDescent="0.25">
      <c r="B96" s="47" t="s">
        <v>46</v>
      </c>
      <c r="C96" s="48" t="s">
        <v>12</v>
      </c>
      <c r="E96" s="19"/>
      <c r="F96" s="19"/>
      <c r="G96" s="19"/>
      <c r="H96" s="20">
        <f t="shared" si="4"/>
        <v>0</v>
      </c>
      <c r="K96" s="21">
        <f>IF(H96=0, 0, _xlfn.IFNA(H96*LOOKUP(G96,Lookup!$B$3:$B$6,Lookup!$C$3:$C$6), 0))</f>
        <v>0</v>
      </c>
      <c r="L96" s="21"/>
    </row>
    <row r="97" spans="2:13" ht="15.75" x14ac:dyDescent="0.25">
      <c r="B97" s="47"/>
      <c r="C97" s="47" t="s">
        <v>131</v>
      </c>
      <c r="E97" s="19"/>
      <c r="F97" s="19"/>
      <c r="G97" s="19"/>
      <c r="H97" s="20">
        <f t="shared" si="4"/>
        <v>0</v>
      </c>
      <c r="K97" s="21">
        <f>IF(H97=0, 0, _xlfn.IFNA(H97*LOOKUP(G97,Lookup!$B$3:$B$6,Lookup!$C$3:$C$6), 0))</f>
        <v>0</v>
      </c>
      <c r="L97" s="21"/>
    </row>
    <row r="98" spans="2:13" ht="15.75" x14ac:dyDescent="0.25">
      <c r="B98" s="47"/>
      <c r="C98" s="47" t="s">
        <v>132</v>
      </c>
      <c r="E98" s="19"/>
      <c r="F98" s="19"/>
      <c r="G98" s="19"/>
      <c r="H98" s="20">
        <f t="shared" si="4"/>
        <v>0</v>
      </c>
      <c r="K98" s="21">
        <f>IF(H98=0, 0, _xlfn.IFNA(H98*LOOKUP(G98,Lookup!$B$3:$B$6,Lookup!$C$3:$C$6), 0))</f>
        <v>0</v>
      </c>
      <c r="L98" s="21"/>
      <c r="M98" s="25"/>
    </row>
    <row r="99" spans="2:13" x14ac:dyDescent="0.25">
      <c r="B99" s="30"/>
      <c r="C99" s="28"/>
      <c r="M99" s="21"/>
    </row>
    <row r="100" spans="2:13" ht="17.25" x14ac:dyDescent="0.4">
      <c r="B100" s="12"/>
      <c r="C100" s="49" t="s">
        <v>57</v>
      </c>
      <c r="J100" s="16">
        <f>SUM(H101:H111)</f>
        <v>0</v>
      </c>
      <c r="M100" s="25"/>
    </row>
    <row r="101" spans="2:13" x14ac:dyDescent="0.25">
      <c r="C101" s="50" t="s">
        <v>31</v>
      </c>
      <c r="H101" s="69"/>
    </row>
    <row r="102" spans="2:13" x14ac:dyDescent="0.25">
      <c r="C102" s="51" t="s">
        <v>38</v>
      </c>
      <c r="H102" s="69"/>
    </row>
    <row r="103" spans="2:13" x14ac:dyDescent="0.25">
      <c r="C103" s="51" t="s">
        <v>39</v>
      </c>
      <c r="H103" s="69"/>
    </row>
    <row r="104" spans="2:13" x14ac:dyDescent="0.25">
      <c r="C104" s="50" t="s">
        <v>32</v>
      </c>
      <c r="H104" s="69"/>
    </row>
    <row r="105" spans="2:13" x14ac:dyDescent="0.25">
      <c r="C105" s="50" t="s">
        <v>33</v>
      </c>
      <c r="H105" s="69"/>
    </row>
    <row r="106" spans="2:13" x14ac:dyDescent="0.25">
      <c r="C106" s="50" t="s">
        <v>34</v>
      </c>
      <c r="H106" s="69"/>
    </row>
    <row r="107" spans="2:13" x14ac:dyDescent="0.25">
      <c r="C107" s="50" t="s">
        <v>35</v>
      </c>
      <c r="H107" s="69"/>
    </row>
    <row r="108" spans="2:13" x14ac:dyDescent="0.25">
      <c r="C108" s="51" t="s">
        <v>36</v>
      </c>
      <c r="H108" s="69"/>
    </row>
    <row r="109" spans="2:13" x14ac:dyDescent="0.25">
      <c r="C109" s="51" t="s">
        <v>37</v>
      </c>
      <c r="H109" s="69"/>
    </row>
    <row r="110" spans="2:13" x14ac:dyDescent="0.25">
      <c r="C110" s="51" t="s">
        <v>40</v>
      </c>
      <c r="H110" s="69"/>
    </row>
    <row r="111" spans="2:13" x14ac:dyDescent="0.25">
      <c r="C111" s="50" t="s">
        <v>149</v>
      </c>
      <c r="H111" s="19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xWindow="581" yWindow="307" count="1">
        <x14:dataValidation type="list" allowBlank="1" showInputMessage="1" showErrorMessage="1" prompt="kies de volwassenheidsfase volgens bomos" xr:uid="{3043E5E8-AA8C-4E4C-833F-B4F083265BDC}">
          <x14:formula1>
            <xm:f>Lookup!$B$9:$B$12</xm:f>
          </x14:formula1>
          <xm:sqref>H5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12"/>
  <sheetViews>
    <sheetView workbookViewId="0">
      <selection activeCell="B9" sqref="B9"/>
    </sheetView>
  </sheetViews>
  <sheetFormatPr defaultColWidth="8.85546875" defaultRowHeight="15" x14ac:dyDescent="0.25"/>
  <cols>
    <col min="1" max="1" width="2" style="1" bestFit="1" customWidth="1"/>
    <col min="2" max="2" width="21.85546875" style="1" customWidth="1"/>
    <col min="3" max="3" width="40.7109375" style="1" customWidth="1"/>
    <col min="4" max="8" width="8.85546875" style="1"/>
    <col min="9" max="9" width="15" style="1" customWidth="1"/>
    <col min="10" max="16384" width="8.85546875" style="1"/>
  </cols>
  <sheetData>
    <row r="2" spans="1:5" ht="15.6" x14ac:dyDescent="0.3">
      <c r="A2" s="1" t="s">
        <v>30</v>
      </c>
      <c r="B2" s="17" t="s">
        <v>153</v>
      </c>
      <c r="C2" s="17" t="s">
        <v>152</v>
      </c>
    </row>
    <row r="3" spans="1:5" ht="13.9" x14ac:dyDescent="0.25">
      <c r="A3" s="1">
        <v>1</v>
      </c>
      <c r="B3" s="20" t="s">
        <v>21</v>
      </c>
      <c r="C3" s="70">
        <v>110</v>
      </c>
      <c r="E3" s="12"/>
    </row>
    <row r="4" spans="1:5" ht="13.9" x14ac:dyDescent="0.25">
      <c r="A4" s="1">
        <v>2</v>
      </c>
      <c r="B4" s="20" t="s">
        <v>22</v>
      </c>
      <c r="C4" s="70">
        <v>85</v>
      </c>
    </row>
    <row r="5" spans="1:5" ht="13.9" x14ac:dyDescent="0.25">
      <c r="A5" s="1">
        <v>3</v>
      </c>
      <c r="B5" s="20" t="s">
        <v>29</v>
      </c>
      <c r="C5" s="70">
        <v>95</v>
      </c>
    </row>
    <row r="6" spans="1:5" ht="13.9" x14ac:dyDescent="0.25">
      <c r="A6" s="1">
        <v>4</v>
      </c>
      <c r="B6" s="20"/>
      <c r="C6" s="20"/>
    </row>
    <row r="8" spans="1:5" ht="13.9" x14ac:dyDescent="0.25">
      <c r="B8" s="71" t="s">
        <v>151</v>
      </c>
      <c r="C8" s="71" t="s">
        <v>150</v>
      </c>
    </row>
    <row r="9" spans="1:5" ht="13.9" x14ac:dyDescent="0.25">
      <c r="B9" s="20" t="s">
        <v>121</v>
      </c>
      <c r="C9" s="20">
        <v>1.3</v>
      </c>
    </row>
    <row r="10" spans="1:5" ht="13.9" x14ac:dyDescent="0.25">
      <c r="B10" s="20" t="s">
        <v>122</v>
      </c>
      <c r="C10" s="20">
        <v>1.2</v>
      </c>
    </row>
    <row r="11" spans="1:5" ht="13.9" x14ac:dyDescent="0.25">
      <c r="B11" s="20" t="s">
        <v>123</v>
      </c>
      <c r="C11" s="20">
        <v>0.9</v>
      </c>
    </row>
    <row r="12" spans="1:5" ht="13.9" x14ac:dyDescent="0.25">
      <c r="B12" s="20" t="s">
        <v>124</v>
      </c>
      <c r="C12" s="20">
        <v>0.7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F02CBB20E76C4BACE82CF2F024693C" ma:contentTypeVersion="17" ma:contentTypeDescription="Een nieuw document maken." ma:contentTypeScope="" ma:versionID="743d4a1e9fd077d7df8e85e5e067b909">
  <xsd:schema xmlns:xsd="http://www.w3.org/2001/XMLSchema" xmlns:xs="http://www.w3.org/2001/XMLSchema" xmlns:p="http://schemas.microsoft.com/office/2006/metadata/properties" xmlns:ns2="33c44ec9-467a-4b39-aa24-1bf6823fbf3e" xmlns:ns3="266c05ca-9f67-4d96-b6af-c25f6e57d25c" targetNamespace="http://schemas.microsoft.com/office/2006/metadata/properties" ma:root="true" ma:fieldsID="13186627ea54c56cff58d2acce3b4757" ns2:_="" ns3:_="">
    <xsd:import namespace="33c44ec9-467a-4b39-aa24-1bf6823fbf3e"/>
    <xsd:import namespace="266c05ca-9f67-4d96-b6af-c25f6e57d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c44ec9-467a-4b39-aa24-1bf6823fbf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ce1ab0c-3d38-4605-9abd-f7fc75f3b0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6c05ca-9f67-4d96-b6af-c25f6e57d25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ce85065-5d94-46c5-8d5f-809674c50e9c}" ma:internalName="TaxCatchAll" ma:showField="CatchAllData" ma:web="266c05ca-9f67-4d96-b6af-c25f6e57d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c44ec9-467a-4b39-aa24-1bf6823fbf3e">
      <Terms xmlns="http://schemas.microsoft.com/office/infopath/2007/PartnerControls"/>
    </lcf76f155ced4ddcb4097134ff3c332f>
    <TaxCatchAll xmlns="266c05ca-9f67-4d96-b6af-c25f6e57d25c" xsi:nil="true"/>
  </documentManagement>
</p:properties>
</file>

<file path=customXml/itemProps1.xml><?xml version="1.0" encoding="utf-8"?>
<ds:datastoreItem xmlns:ds="http://schemas.openxmlformats.org/officeDocument/2006/customXml" ds:itemID="{D89C51B7-516E-4A56-9542-5AE5305551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C63A1E6-D473-4DB0-B8FB-7C205CFBDF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c44ec9-467a-4b39-aa24-1bf6823fbf3e"/>
    <ds:schemaRef ds:uri="266c05ca-9f67-4d96-b6af-c25f6e57d2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8DC06E8-CED0-4552-9405-53FD786C9AD9}">
  <ds:schemaRefs>
    <ds:schemaRef ds:uri="http://schemas.microsoft.com/office/infopath/2007/PartnerControls"/>
    <ds:schemaRef ds:uri="http://schemas.microsoft.com/office/2006/documentManagement/types"/>
    <ds:schemaRef ds:uri="266c05ca-9f67-4d96-b6af-c25f6e57d25c"/>
    <ds:schemaRef ds:uri="http://purl.org/dc/dcmitype/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33c44ec9-467a-4b39-aa24-1bf6823fbf3e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Werkzaamheden</vt:lpstr>
      <vt:lpstr>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 Geonovum STELSELS BOMOS rekenmodel</dc:title>
  <dc:creator>Monique van Scherpenzeel</dc:creator>
  <cp:keywords>Geonovum; BOMOS; rekenmodel; template; stelsels</cp:keywords>
  <cp:lastModifiedBy>Boer, Sander</cp:lastModifiedBy>
  <cp:lastPrinted>2018-03-28T06:57:21Z</cp:lastPrinted>
  <dcterms:created xsi:type="dcterms:W3CDTF">2018-03-27T08:10:05Z</dcterms:created>
  <dcterms:modified xsi:type="dcterms:W3CDTF">2026-04-23T12:33:15Z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0x01010096F02CBB20E76C4BACE82CF2F024693C</vt:lpwstr>
  </property>
  <property fmtid="{D5CDD505-2E9C-101B-9397-08002B2CF9AE}" pid="3" name="Order">
    <vt:r8>25400</vt:r8>
  </property>
  <property fmtid="{D5CDD505-2E9C-101B-9397-08002B2CF9AE}" pid="4" name="MediaServiceImageTags">
    <vt:lpwstr/>
  </property>
</Properties>
</file>